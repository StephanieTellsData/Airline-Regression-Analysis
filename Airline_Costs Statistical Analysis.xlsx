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defaultThemeVersion="166925"/>
  <mc:AlternateContent xmlns:mc="http://schemas.openxmlformats.org/markup-compatibility/2006">
    <mc:Choice Requires="x15">
      <x15ac:absPath xmlns:x15ac="http://schemas.microsoft.com/office/spreadsheetml/2010/11/ac" url="C:\Users\Windows\Downloads\"/>
    </mc:Choice>
  </mc:AlternateContent>
  <xr:revisionPtr revIDLastSave="0" documentId="10_ncr:8100000_{E0CAF177-A3FA-4F3E-9A45-A76F4561B89C}" xr6:coauthVersionLast="33" xr6:coauthVersionMax="33" xr10:uidLastSave="{00000000-0000-0000-0000-000000000000}"/>
  <bookViews>
    <workbookView xWindow="-28920" yWindow="-120" windowWidth="29040" windowHeight="16440" xr2:uid="{00000000-000D-0000-FFFF-FFFF00000000}"/>
  </bookViews>
  <sheets>
    <sheet name="Raw_Data" sheetId="1" r:id="rId1"/>
    <sheet name="Descriptive_statistics" sheetId="2" r:id="rId2"/>
    <sheet name="Correlation" sheetId="4" r:id="rId3"/>
    <sheet name="Trend Analysis" sheetId="3" r:id="rId4"/>
    <sheet name="Simple LinearRegression Model" sheetId="5" r:id="rId5"/>
    <sheet name="Multiple Linear Regression" sheetId="6" r:id="rId6"/>
    <sheet name="pivot tables" sheetId="8" r:id="rId7"/>
  </sheets>
  <definedNames>
    <definedName name="_xlnm._FilterDatabase" localSheetId="0" hidden="1">Raw_Data!$A$1:$F$91</definedName>
  </definedNames>
  <calcPr calcId="162913"/>
  <pivotCaches>
    <pivotCache cacheId="5" r:id="rId8"/>
  </pivotCaches>
</workbook>
</file>

<file path=xl/sharedStrings.xml><?xml version="1.0" encoding="utf-8"?>
<sst xmlns="http://schemas.openxmlformats.org/spreadsheetml/2006/main" count="143" uniqueCount="53">
  <si>
    <t>Airline</t>
  </si>
  <si>
    <t>Year</t>
  </si>
  <si>
    <t>Output</t>
  </si>
  <si>
    <t>Fuel Price</t>
  </si>
  <si>
    <t>Load Factor</t>
  </si>
  <si>
    <t>Cost (thousands)</t>
  </si>
  <si>
    <t>Mean</t>
  </si>
  <si>
    <t>Standard Error</t>
  </si>
  <si>
    <t>Median</t>
  </si>
  <si>
    <t>Mode</t>
  </si>
  <si>
    <t>Standard Deviation</t>
  </si>
  <si>
    <t>Sample Variance</t>
  </si>
  <si>
    <t>Kurtosis</t>
  </si>
  <si>
    <t>Skewness</t>
  </si>
  <si>
    <t>Range</t>
  </si>
  <si>
    <t>Minimum</t>
  </si>
  <si>
    <t>Maximum</t>
  </si>
  <si>
    <t>Sum</t>
  </si>
  <si>
    <t>Count</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</si>
  <si>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</si>
  <si>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</si>
  <si>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</si>
  <si>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</si>
  <si>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</si>
  <si>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</si>
  <si>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</si>
  <si>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</si>
  <si>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</si>
  <si>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</si>
  <si>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</si>
  <si>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</si>
  <si>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</si>
  <si>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</si>
  <si>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</si>
  <si>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</si>
  <si>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</si>
  <si>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</si>
  <si>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</si>
  <si>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</si>
  <si>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</si>
  <si>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r>
      <t xml:space="preserve">                                                                                               </t>
    </r>
    <r>
      <rPr>
        <b/>
        <sz val="16"/>
        <color theme="1"/>
        <rFont val="Calibri"/>
        <family val="2"/>
        <scheme val="minor"/>
      </rPr>
      <t xml:space="preserve"> DESCRIPTIVE STATISTICS</t>
    </r>
  </si>
  <si>
    <t>Grand Total</t>
  </si>
  <si>
    <t>TREND ANALYSIS OF AIRLINE OPERATING COST OVER 15 YEARS</t>
  </si>
  <si>
    <t>CORRELATION</t>
  </si>
  <si>
    <t>SIMPLE LINEAR REGRESSION MODEL</t>
  </si>
  <si>
    <t>MULTIPLE LINEAR REGRESSION MODEL</t>
  </si>
  <si>
    <t>Average of Output</t>
  </si>
  <si>
    <t>TREND ANALYSIS OF AIRLINE AVERAGE OUTPUT OVER 15 YEARS</t>
  </si>
  <si>
    <t>Average of Fuel Price</t>
  </si>
  <si>
    <t>Sum of Load Factor</t>
  </si>
  <si>
    <t>Average of Cost (thousands)</t>
  </si>
  <si>
    <t xml:space="preserve">          TREND ANALYSIS OF AIRLINE AVERAGE FUEL PRICE OVER 15 YEARS</t>
  </si>
  <si>
    <t xml:space="preserve">          TREND ANALYSIS OF AIRLINE AVERAGE LOAD FACTOR OVER 15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</si>
</sst>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16"/>
      <color theme="1"/>
      <name val="Calibri"/>
      <family val="2"/>
      <scheme val="minor"/>
    </font>
    <font>
      <b/>
      <sz val="12"/>
      <color theme="1"/>
      <name val="Calibri"/>
      <family val="2"/>
      <scheme val="minor"/>
    </font>
    <font>
      <b/>
      <sz val="14"/>
      <color theme="1"/>
      <name val="Calibri"/>
      <family val="2"/>
      <scheme val="minor"/>
    </font>
    <font>
      <b/>
      <sz val="20"/>
      <color theme="1"/>
      <name val="Calibri"/>
      <family val="2"/>
      <scheme val="minor"/>
    </font>
    <font>
      <b/>
      <i/>
      <sz val="12"/>
      <color theme="1"/>
      <name val="Calibri"/>
      <family val="2"/>
      <scheme val="minor"/>
    </font>
    <font>
      <b/>
      <i/>
      <sz val="14"/>
      <color theme="1"/>
      <name val="Calibri"/>
      <family val="2"/>
      <scheme val="minor"/>
    </font>
    <font>
      <b/>
      <sz val="13"/>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164" fontId="0" fillId="0" borderId="0" xfId="0" applyNumberFormat="1"/>
    <xf numFmtId="165" fontId="0" fillId="0" borderId="0" xfId="0" applyNumberFormat="1"/>
    <xf numFmtId="0" fontId="16" fillId="33" borderId="0" xfId="0" applyFont="1" applyFill="1"/>
    <xf numFmtId="10" fontId="0" fillId="0" borderId="0" xfId="0" applyNumberFormat="1"/>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xf numFmtId="0" fontId="20" fillId="0" borderId="11" xfId="0" applyFont="1" applyFill="1" applyBorder="1" applyAlignment="1">
      <alignment horizontal="center"/>
    </xf>
    <xf numFmtId="0" fontId="20" fillId="0" borderId="0" xfId="0" applyFont="1" applyFill="1" applyBorder="1" applyAlignment="1"/>
    <xf numFmtId="0" fontId="20" fillId="0" borderId="10" xfId="0" applyFont="1" applyFill="1" applyBorder="1" applyAlignment="1"/>
    <xf numFmtId="0" fontId="0" fillId="0" borderId="0" xfId="0" pivotButton="1"/>
    <xf numFmtId="0" fontId="0" fillId="0" borderId="0" xfId="0" applyAlignment="1">
      <alignment horizontal="left"/>
    </xf>
    <xf numFmtId="0" fontId="0" fillId="0" borderId="0" xfId="0" applyNumberFormat="1"/>
    <xf numFmtId="0" fontId="20" fillId="0" borderId="0" xfId="0" applyFont="1"/>
    <xf numFmtId="0" fontId="22" fillId="0" borderId="0" xfId="0" applyFont="1"/>
    <xf numFmtId="0" fontId="23" fillId="0" borderId="11" xfId="0" applyFont="1" applyFill="1" applyBorder="1" applyAlignment="1">
      <alignment horizontal="center"/>
    </xf>
    <xf numFmtId="0" fontId="24" fillId="0" borderId="11" xfId="0" applyFont="1" applyFill="1" applyBorder="1" applyAlignment="1">
      <alignment horizontal="center"/>
    </xf>
    <xf numFmtId="0" fontId="21" fillId="0" borderId="0" xfId="0" applyFont="1"/>
    <xf numFmtId="0" fontId="25"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
        <c:idx val="18"/>
        <c:spPr>
          <a:ln w="28575" cap="rnd">
            <a:solidFill>
              <a:schemeClr val="accent1"/>
            </a:solidFill>
            <a:round/>
          </a:ln>
          <a:effectLst/>
        </c:spPr>
        <c:marker>
          <c:symbol val="none"/>
        </c:marker>
      </c:pivotFmt>
      <c:pivotFmt>
        <c:idx val="19"/>
        <c:spPr>
          <a:ln w="28575" cap="rnd">
            <a:solidFill>
              <a:schemeClr val="accent1"/>
            </a:solidFill>
            <a:round/>
          </a:ln>
          <a:effectLst/>
        </c:spPr>
        <c:marker>
          <c:symbol val="none"/>
        </c:marker>
      </c:pivotFmt>
      <c:pivotFmt>
        <c:idx val="20"/>
        <c:spPr>
          <a:ln w="28575" cap="rnd">
            <a:solidFill>
              <a:schemeClr val="accent1"/>
            </a:solidFill>
            <a:round/>
          </a:ln>
          <a:effectLst/>
        </c:spPr>
        <c:marker>
          <c:symbol val="none"/>
        </c:marker>
      </c:pivotFmt>
      <c:pivotFmt>
        <c:idx val="21"/>
        <c:spPr>
          <a:ln w="28575" cap="rnd">
            <a:solidFill>
              <a:schemeClr val="accent1"/>
            </a:solidFill>
            <a:round/>
          </a:ln>
          <a:effectLst/>
        </c:spPr>
        <c:marker>
          <c:symbol val="none"/>
        </c:marker>
      </c:pivotFmt>
      <c:pivotFmt>
        <c:idx val="22"/>
        <c:spPr>
          <a:ln w="28575" cap="rnd">
            <a:solidFill>
              <a:schemeClr val="accent1"/>
            </a:solidFill>
            <a:round/>
          </a:ln>
          <a:effectLst/>
        </c:spPr>
        <c:marker>
          <c:symbol val="none"/>
        </c:marker>
      </c:pivotFmt>
      <c:pivotFmt>
        <c:idx val="23"/>
        <c:spPr>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s>
    <c:plotArea>
      <c:layout>
        <c:manualLayout>
          <c:layoutTarget val="inner"/>
          <c:xMode val="edge"/>
          <c:yMode val="edge"/>
          <c:x val="4.8380714939106416E-2"/>
          <c:y val="0.27301746986786357"/>
          <c:w val="0.80925026455975468"/>
          <c:h val="0.63755615314670433"/>
        </c:manualLayout>
      </c:layout>
      <c:lineChart>
        <c:grouping val="standard"/>
        <c:varyColors val="0"/>
        <c:ser>
          <c:idx val="0"/>
          <c:order val="0"/>
          <c:tx>
            <c:v>1</c:v>
          </c:tx>
          <c:spPr>
            <a:ln w="28575" cap="rnd">
              <a:solidFill>
                <a:schemeClr val="accent1"/>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0.95275699999999997</c:v>
              </c:pt>
              <c:pt idx="1">
                <c:v>0.986757</c:v>
              </c:pt>
              <c:pt idx="2">
                <c:v>1.09198</c:v>
              </c:pt>
              <c:pt idx="3">
                <c:v>1.17578</c:v>
              </c:pt>
              <c:pt idx="4">
                <c:v>1.1601699999999999</c:v>
              </c:pt>
              <c:pt idx="5">
                <c:v>1.1737599999999999</c:v>
              </c:pt>
              <c:pt idx="6">
                <c:v>1.29051</c:v>
              </c:pt>
              <c:pt idx="7">
                <c:v>1.3906700000000001</c:v>
              </c:pt>
              <c:pt idx="8">
                <c:v>1.61273</c:v>
              </c:pt>
              <c:pt idx="9">
                <c:v>1.82544</c:v>
              </c:pt>
              <c:pt idx="10">
                <c:v>1.5460400000000001</c:v>
              </c:pt>
              <c:pt idx="11">
                <c:v>1.5279</c:v>
              </c:pt>
              <c:pt idx="12">
                <c:v>1.6601999999999999</c:v>
              </c:pt>
              <c:pt idx="13">
                <c:v>1.8223100000000001</c:v>
              </c:pt>
              <c:pt idx="14">
                <c:v>1.9364600000000001</c:v>
              </c:pt>
            </c:numLit>
          </c:val>
          <c:smooth val="0"/>
          <c:extLst>
            <c:ext xmlns:c16="http://schemas.microsoft.com/office/drawing/2014/chart" uri="{C3380CC4-5D6E-409C-BE32-E72D297353CC}">
              <c16:uniqueId val="{00000000-B1CF-4D8C-9ADE-7AADBE1733E4}"/>
            </c:ext>
          </c:extLst>
        </c:ser>
        <c:ser>
          <c:idx val="1"/>
          <c:order val="1"/>
          <c:tx>
            <c:v>2</c:v>
          </c:tx>
          <c:spPr>
            <a:ln w="28575" cap="rnd">
              <a:solidFill>
                <a:schemeClr val="accent2"/>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0.52063499999999996</c:v>
              </c:pt>
              <c:pt idx="1">
                <c:v>0.53462699999999996</c:v>
              </c:pt>
              <c:pt idx="2">
                <c:v>0.655192</c:v>
              </c:pt>
              <c:pt idx="3">
                <c:v>0.79157500000000003</c:v>
              </c:pt>
              <c:pt idx="4">
                <c:v>0.84294500000000006</c:v>
              </c:pt>
              <c:pt idx="5">
                <c:v>0.85289199999999998</c:v>
              </c:pt>
              <c:pt idx="6">
                <c:v>0.92284299999999997</c:v>
              </c:pt>
              <c:pt idx="7">
                <c:v>1</c:v>
              </c:pt>
              <c:pt idx="8">
                <c:v>1.19845</c:v>
              </c:pt>
              <c:pt idx="9">
                <c:v>1.34067</c:v>
              </c:pt>
              <c:pt idx="10">
                <c:v>1.3262400000000001</c:v>
              </c:pt>
              <c:pt idx="11">
                <c:v>1.2485200000000001</c:v>
              </c:pt>
              <c:pt idx="12">
                <c:v>1.2543200000000001</c:v>
              </c:pt>
              <c:pt idx="13">
                <c:v>1.3717699999999999</c:v>
              </c:pt>
              <c:pt idx="14">
                <c:v>1.38974</c:v>
              </c:pt>
            </c:numLit>
          </c:val>
          <c:smooth val="0"/>
          <c:extLst>
            <c:ext xmlns:c16="http://schemas.microsoft.com/office/drawing/2014/chart" uri="{C3380CC4-5D6E-409C-BE32-E72D297353CC}">
              <c16:uniqueId val="{00000001-B1CF-4D8C-9ADE-7AADBE1733E4}"/>
            </c:ext>
          </c:extLst>
        </c:ser>
        <c:ser>
          <c:idx val="2"/>
          <c:order val="2"/>
          <c:tx>
            <c:v>3</c:v>
          </c:tx>
          <c:spPr>
            <a:ln w="28575" cap="rnd">
              <a:solidFill>
                <a:schemeClr val="accent3"/>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0.26242399999999999</c:v>
              </c:pt>
              <c:pt idx="1">
                <c:v>0.26643299999999998</c:v>
              </c:pt>
              <c:pt idx="2">
                <c:v>0.30604300000000001</c:v>
              </c:pt>
              <c:pt idx="3">
                <c:v>0.32558599999999999</c:v>
              </c:pt>
              <c:pt idx="4">
                <c:v>0.34570600000000001</c:v>
              </c:pt>
              <c:pt idx="5">
                <c:v>0.36751699999999998</c:v>
              </c:pt>
              <c:pt idx="6">
                <c:v>0.409937</c:v>
              </c:pt>
              <c:pt idx="7">
                <c:v>0.448023</c:v>
              </c:pt>
              <c:pt idx="8">
                <c:v>0.53959500000000005</c:v>
              </c:pt>
              <c:pt idx="9">
                <c:v>0.53938200000000003</c:v>
              </c:pt>
              <c:pt idx="10">
                <c:v>0.46796700000000002</c:v>
              </c:pt>
              <c:pt idx="11">
                <c:v>0.450544</c:v>
              </c:pt>
              <c:pt idx="12">
                <c:v>0.46879300000000002</c:v>
              </c:pt>
              <c:pt idx="13">
                <c:v>0.49439699999999998</c:v>
              </c:pt>
              <c:pt idx="14">
                <c:v>0.49331700000000001</c:v>
              </c:pt>
            </c:numLit>
          </c:val>
          <c:smooth val="0"/>
          <c:extLst>
            <c:ext xmlns:c16="http://schemas.microsoft.com/office/drawing/2014/chart" uri="{C3380CC4-5D6E-409C-BE32-E72D297353CC}">
              <c16:uniqueId val="{00000002-B1CF-4D8C-9ADE-7AADBE1733E4}"/>
            </c:ext>
          </c:extLst>
        </c:ser>
        <c:ser>
          <c:idx val="3"/>
          <c:order val="3"/>
          <c:tx>
            <c:v>4</c:v>
          </c:tx>
          <c:spPr>
            <a:ln w="28575" cap="rnd">
              <a:solidFill>
                <a:schemeClr val="accent4"/>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8.6392999999999998E-2</c:v>
              </c:pt>
              <c:pt idx="1">
                <c:v>9.6740000000000007E-2</c:v>
              </c:pt>
              <c:pt idx="2">
                <c:v>0.14149999999999999</c:v>
              </c:pt>
              <c:pt idx="3">
                <c:v>0.169715</c:v>
              </c:pt>
              <c:pt idx="4">
                <c:v>0.17380499999999999</c:v>
              </c:pt>
              <c:pt idx="5">
                <c:v>0.164272</c:v>
              </c:pt>
              <c:pt idx="6">
                <c:v>0.170906</c:v>
              </c:pt>
              <c:pt idx="7">
                <c:v>0.17784</c:v>
              </c:pt>
              <c:pt idx="8">
                <c:v>0.192248</c:v>
              </c:pt>
              <c:pt idx="9">
                <c:v>0.24246899999999999</c:v>
              </c:pt>
              <c:pt idx="10">
                <c:v>0.25650499999999998</c:v>
              </c:pt>
              <c:pt idx="11">
                <c:v>0.24965699999999999</c:v>
              </c:pt>
              <c:pt idx="12">
                <c:v>0.27392300000000003</c:v>
              </c:pt>
              <c:pt idx="13">
                <c:v>0.37113099999999999</c:v>
              </c:pt>
              <c:pt idx="14">
                <c:v>0.42141099999999998</c:v>
              </c:pt>
            </c:numLit>
          </c:val>
          <c:smooth val="0"/>
          <c:extLst>
            <c:ext xmlns:c16="http://schemas.microsoft.com/office/drawing/2014/chart" uri="{C3380CC4-5D6E-409C-BE32-E72D297353CC}">
              <c16:uniqueId val="{00000003-B1CF-4D8C-9ADE-7AADBE1733E4}"/>
            </c:ext>
          </c:extLst>
        </c:ser>
        <c:ser>
          <c:idx val="4"/>
          <c:order val="4"/>
          <c:tx>
            <c:v>5</c:v>
          </c:tx>
          <c:spPr>
            <a:ln w="28575" cap="rnd">
              <a:solidFill>
                <a:schemeClr val="accent5"/>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5.1027999999999997E-2</c:v>
              </c:pt>
              <c:pt idx="1">
                <c:v>5.2645999999999998E-2</c:v>
              </c:pt>
              <c:pt idx="2">
                <c:v>5.6348000000000002E-2</c:v>
              </c:pt>
              <c:pt idx="3">
                <c:v>6.6952999999999999E-2</c:v>
              </c:pt>
              <c:pt idx="4">
                <c:v>7.0307999999999995E-2</c:v>
              </c:pt>
              <c:pt idx="5">
                <c:v>7.3960999999999999E-2</c:v>
              </c:pt>
              <c:pt idx="6">
                <c:v>8.4945999999999994E-2</c:v>
              </c:pt>
              <c:pt idx="7">
                <c:v>9.5474000000000003E-2</c:v>
              </c:pt>
              <c:pt idx="8">
                <c:v>0.119814</c:v>
              </c:pt>
              <c:pt idx="9">
                <c:v>0.15004600000000001</c:v>
              </c:pt>
              <c:pt idx="10">
                <c:v>0.144014</c:v>
              </c:pt>
              <c:pt idx="11">
                <c:v>0.16930000000000001</c:v>
              </c:pt>
              <c:pt idx="12">
                <c:v>0.172761</c:v>
              </c:pt>
              <c:pt idx="13">
                <c:v>0.18667</c:v>
              </c:pt>
              <c:pt idx="14">
                <c:v>0.213279</c:v>
              </c:pt>
            </c:numLit>
          </c:val>
          <c:smooth val="0"/>
          <c:extLst>
            <c:ext xmlns:c16="http://schemas.microsoft.com/office/drawing/2014/chart" uri="{C3380CC4-5D6E-409C-BE32-E72D297353CC}">
              <c16:uniqueId val="{00000004-B1CF-4D8C-9ADE-7AADBE1733E4}"/>
            </c:ext>
          </c:extLst>
        </c:ser>
        <c:ser>
          <c:idx val="5"/>
          <c:order val="5"/>
          <c:tx>
            <c:v>6</c:v>
          </c:tx>
          <c:spPr>
            <a:ln w="28575" cap="rnd">
              <a:solidFill>
                <a:schemeClr val="accent6"/>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3.7682E-2</c:v>
              </c:pt>
              <c:pt idx="1">
                <c:v>3.9784E-2</c:v>
              </c:pt>
              <c:pt idx="2">
                <c:v>4.4331000000000002E-2</c:v>
              </c:pt>
              <c:pt idx="3">
                <c:v>5.0244999999999998E-2</c:v>
              </c:pt>
              <c:pt idx="4">
                <c:v>5.5045999999999998E-2</c:v>
              </c:pt>
              <c:pt idx="5">
                <c:v>5.2462000000000002E-2</c:v>
              </c:pt>
              <c:pt idx="6">
                <c:v>5.6977E-2</c:v>
              </c:pt>
              <c:pt idx="7">
                <c:v>6.1490000000000003E-2</c:v>
              </c:pt>
              <c:pt idx="8">
                <c:v>6.9027000000000005E-2</c:v>
              </c:pt>
              <c:pt idx="9">
                <c:v>9.2748999999999998E-2</c:v>
              </c:pt>
              <c:pt idx="10">
                <c:v>0.11264</c:v>
              </c:pt>
              <c:pt idx="11">
                <c:v>0.15415400000000001</c:v>
              </c:pt>
              <c:pt idx="12">
                <c:v>0.18646099999999999</c:v>
              </c:pt>
              <c:pt idx="13">
                <c:v>0.24684700000000001</c:v>
              </c:pt>
              <c:pt idx="14">
                <c:v>0.30401299999999998</c:v>
              </c:pt>
            </c:numLit>
          </c:val>
          <c:smooth val="0"/>
          <c:extLst>
            <c:ext xmlns:c16="http://schemas.microsoft.com/office/drawing/2014/chart" uri="{C3380CC4-5D6E-409C-BE32-E72D297353CC}">
              <c16:uniqueId val="{00000005-B1CF-4D8C-9ADE-7AADBE1733E4}"/>
            </c:ext>
          </c:extLst>
        </c:ser>
        <c:dLbls>
          <c:showLegendKey val="0"/>
          <c:showVal val="0"/>
          <c:showCatName val="0"/>
          <c:showSerName val="0"/>
          <c:showPercent val="0"/>
          <c:showBubbleSize val="0"/>
        </c:dLbls>
        <c:smooth val="0"/>
        <c:axId val="1365921663"/>
        <c:axId val="1114120559"/>
      </c:lineChart>
      <c:catAx>
        <c:axId val="136592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4120559"/>
        <c:crosses val="autoZero"/>
        <c:auto val="1"/>
        <c:lblAlgn val="ctr"/>
        <c:lblOffset val="100"/>
        <c:noMultiLvlLbl val="0"/>
      </c:catAx>
      <c:valAx>
        <c:axId val="1114120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921663"/>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s>
    <c:plotArea>
      <c:layout/>
      <c:lineChart>
        <c:grouping val="standard"/>
        <c:varyColors val="0"/>
        <c:ser>
          <c:idx val="0"/>
          <c:order val="0"/>
          <c:tx>
            <c:v>Series1</c:v>
          </c:tx>
          <c:spPr>
            <a:ln w="28575" cap="rnd">
              <a:solidFill>
                <a:schemeClr val="accent1"/>
              </a:solidFill>
              <a:round/>
            </a:ln>
            <a:effectLst/>
          </c:spPr>
          <c:marker>
            <c:symbol val="none"/>
          </c:marker>
          <c:cat>
            <c:numLit>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Lit>
          </c:cat>
          <c:val>
            <c:numLit>
              <c:formatCode>General</c:formatCode>
              <c:ptCount val="15"/>
              <c:pt idx="0">
                <c:v>106650</c:v>
              </c:pt>
              <c:pt idx="1">
                <c:v>110307</c:v>
              </c:pt>
              <c:pt idx="2">
                <c:v>110574</c:v>
              </c:pt>
              <c:pt idx="3">
                <c:v>121974</c:v>
              </c:pt>
              <c:pt idx="4">
                <c:v>196606</c:v>
              </c:pt>
              <c:pt idx="5">
                <c:v>265609</c:v>
              </c:pt>
              <c:pt idx="6">
                <c:v>263451</c:v>
              </c:pt>
              <c:pt idx="7">
                <c:v>316411</c:v>
              </c:pt>
              <c:pt idx="8">
                <c:v>384110</c:v>
              </c:pt>
              <c:pt idx="9">
                <c:v>569251</c:v>
              </c:pt>
              <c:pt idx="10">
                <c:v>871636</c:v>
              </c:pt>
              <c:pt idx="11">
                <c:v>997239</c:v>
              </c:pt>
              <c:pt idx="12">
                <c:v>938002</c:v>
              </c:pt>
              <c:pt idx="13">
                <c:v>859572</c:v>
              </c:pt>
              <c:pt idx="14">
                <c:v>823411</c:v>
              </c:pt>
            </c:numLit>
          </c:val>
          <c:smooth val="0"/>
          <c:extLst>
            <c:ext xmlns:c16="http://schemas.microsoft.com/office/drawing/2014/chart" uri="{C3380CC4-5D6E-409C-BE32-E72D297353CC}">
              <c16:uniqueId val="{00000000-ABFC-4B0F-AC3D-E6C0CDF4B4DB}"/>
            </c:ext>
          </c:extLst>
        </c:ser>
        <c:ser>
          <c:idx val="1"/>
          <c:order val="1"/>
          <c:tx>
            <c:v>Series2</c:v>
          </c:tx>
          <c:spPr>
            <a:ln w="28575" cap="rnd">
              <a:solidFill>
                <a:schemeClr val="accent2"/>
              </a:solidFill>
              <a:round/>
            </a:ln>
            <a:effectLst/>
          </c:spPr>
          <c:marker>
            <c:symbol val="none"/>
          </c:marker>
          <c:cat>
            <c:numLit>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Lit>
          </c:cat>
          <c:val>
            <c:numLit>
              <c:formatCode>General</c:formatCode>
              <c:ptCount val="15"/>
              <c:pt idx="0">
                <c:v>103795</c:v>
              </c:pt>
              <c:pt idx="1">
                <c:v>111477</c:v>
              </c:pt>
              <c:pt idx="2">
                <c:v>118664</c:v>
              </c:pt>
              <c:pt idx="3">
                <c:v>114797</c:v>
              </c:pt>
              <c:pt idx="4">
                <c:v>215322</c:v>
              </c:pt>
              <c:pt idx="5">
                <c:v>281704</c:v>
              </c:pt>
              <c:pt idx="6">
                <c:v>304818</c:v>
              </c:pt>
              <c:pt idx="7">
                <c:v>348609</c:v>
              </c:pt>
              <c:pt idx="8">
                <c:v>374579</c:v>
              </c:pt>
              <c:pt idx="9">
                <c:v>544109</c:v>
              </c:pt>
              <c:pt idx="10">
                <c:v>853356</c:v>
              </c:pt>
              <c:pt idx="11">
                <c:v>1003200</c:v>
              </c:pt>
              <c:pt idx="12">
                <c:v>941977</c:v>
              </c:pt>
              <c:pt idx="13">
                <c:v>856533</c:v>
              </c:pt>
              <c:pt idx="14">
                <c:v>821361</c:v>
              </c:pt>
            </c:numLit>
          </c:val>
          <c:smooth val="0"/>
          <c:extLst>
            <c:ext xmlns:c16="http://schemas.microsoft.com/office/drawing/2014/chart" uri="{C3380CC4-5D6E-409C-BE32-E72D297353CC}">
              <c16:uniqueId val="{00000001-ABFC-4B0F-AC3D-E6C0CDF4B4DB}"/>
            </c:ext>
          </c:extLst>
        </c:ser>
        <c:ser>
          <c:idx val="2"/>
          <c:order val="2"/>
          <c:tx>
            <c:v>Series3</c:v>
          </c:tx>
          <c:spPr>
            <a:ln w="28575" cap="rnd">
              <a:solidFill>
                <a:schemeClr val="accent3"/>
              </a:solidFill>
              <a:round/>
            </a:ln>
            <a:effectLst/>
          </c:spPr>
          <c:marker>
            <c:symbol val="none"/>
          </c:marker>
          <c:cat>
            <c:numLit>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Lit>
          </c:cat>
          <c:val>
            <c:numLit>
              <c:formatCode>General</c:formatCode>
              <c:ptCount val="15"/>
              <c:pt idx="0">
                <c:v>118788</c:v>
              </c:pt>
              <c:pt idx="1">
                <c:v>123798</c:v>
              </c:pt>
              <c:pt idx="2">
                <c:v>122882</c:v>
              </c:pt>
              <c:pt idx="3">
                <c:v>131274</c:v>
              </c:pt>
              <c:pt idx="4">
                <c:v>222037</c:v>
              </c:pt>
              <c:pt idx="5">
                <c:v>278721</c:v>
              </c:pt>
              <c:pt idx="6">
                <c:v>306564</c:v>
              </c:pt>
              <c:pt idx="7">
                <c:v>356073</c:v>
              </c:pt>
              <c:pt idx="8">
                <c:v>378311</c:v>
              </c:pt>
              <c:pt idx="9">
                <c:v>555267</c:v>
              </c:pt>
              <c:pt idx="10">
                <c:v>850322</c:v>
              </c:pt>
              <c:pt idx="11">
                <c:v>1015610</c:v>
              </c:pt>
              <c:pt idx="12">
                <c:v>954508</c:v>
              </c:pt>
              <c:pt idx="13">
                <c:v>886999</c:v>
              </c:pt>
              <c:pt idx="14">
                <c:v>844079</c:v>
              </c:pt>
            </c:numLit>
          </c:val>
          <c:smooth val="0"/>
          <c:extLst>
            <c:ext xmlns:c16="http://schemas.microsoft.com/office/drawing/2014/chart" uri="{C3380CC4-5D6E-409C-BE32-E72D297353CC}">
              <c16:uniqueId val="{00000002-ABFC-4B0F-AC3D-E6C0CDF4B4DB}"/>
            </c:ext>
          </c:extLst>
        </c:ser>
        <c:ser>
          <c:idx val="3"/>
          <c:order val="3"/>
          <c:tx>
            <c:v>Series4</c:v>
          </c:tx>
          <c:spPr>
            <a:ln w="28575" cap="rnd">
              <a:solidFill>
                <a:schemeClr val="accent4"/>
              </a:solidFill>
              <a:round/>
            </a:ln>
            <a:effectLst/>
          </c:spPr>
          <c:marker>
            <c:symbol val="none"/>
          </c:marker>
          <c:cat>
            <c:numLit>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Lit>
          </c:cat>
          <c:val>
            <c:numLit>
              <c:formatCode>General</c:formatCode>
              <c:ptCount val="15"/>
              <c:pt idx="0">
                <c:v>114987</c:v>
              </c:pt>
              <c:pt idx="1">
                <c:v>120501</c:v>
              </c:pt>
              <c:pt idx="2">
                <c:v>121908</c:v>
              </c:pt>
              <c:pt idx="3">
                <c:v>127220</c:v>
              </c:pt>
              <c:pt idx="4">
                <c:v>209405</c:v>
              </c:pt>
              <c:pt idx="5">
                <c:v>263148</c:v>
              </c:pt>
              <c:pt idx="6">
                <c:v>316724</c:v>
              </c:pt>
              <c:pt idx="7">
                <c:v>363598</c:v>
              </c:pt>
              <c:pt idx="8">
                <c:v>389436</c:v>
              </c:pt>
              <c:pt idx="9">
                <c:v>547376</c:v>
              </c:pt>
              <c:pt idx="10">
                <c:v>850418</c:v>
              </c:pt>
              <c:pt idx="11">
                <c:v>1011170</c:v>
              </c:pt>
              <c:pt idx="12">
                <c:v>951934</c:v>
              </c:pt>
              <c:pt idx="13">
                <c:v>881323</c:v>
              </c:pt>
              <c:pt idx="14">
                <c:v>831374</c:v>
              </c:pt>
            </c:numLit>
          </c:val>
          <c:smooth val="0"/>
          <c:extLst>
            <c:ext xmlns:c16="http://schemas.microsoft.com/office/drawing/2014/chart" uri="{C3380CC4-5D6E-409C-BE32-E72D297353CC}">
              <c16:uniqueId val="{00000003-ABFC-4B0F-AC3D-E6C0CDF4B4DB}"/>
            </c:ext>
          </c:extLst>
        </c:ser>
        <c:ser>
          <c:idx val="4"/>
          <c:order val="4"/>
          <c:tx>
            <c:v>Series5</c:v>
          </c:tx>
          <c:spPr>
            <a:ln w="28575" cap="rnd">
              <a:solidFill>
                <a:schemeClr val="accent5"/>
              </a:solidFill>
              <a:round/>
            </a:ln>
            <a:effectLst/>
          </c:spPr>
          <c:marker>
            <c:symbol val="none"/>
          </c:marker>
          <c:cat>
            <c:numLit>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Lit>
          </c:cat>
          <c:val>
            <c:numLit>
              <c:formatCode>General</c:formatCode>
              <c:ptCount val="15"/>
              <c:pt idx="0">
                <c:v>118222</c:v>
              </c:pt>
              <c:pt idx="1">
                <c:v>116223</c:v>
              </c:pt>
              <c:pt idx="2">
                <c:v>115853</c:v>
              </c:pt>
              <c:pt idx="3">
                <c:v>129372</c:v>
              </c:pt>
              <c:pt idx="4">
                <c:v>243266</c:v>
              </c:pt>
              <c:pt idx="5">
                <c:v>277930</c:v>
              </c:pt>
              <c:pt idx="6">
                <c:v>317273</c:v>
              </c:pt>
              <c:pt idx="7">
                <c:v>358794</c:v>
              </c:pt>
              <c:pt idx="8">
                <c:v>397667</c:v>
              </c:pt>
              <c:pt idx="9">
                <c:v>566672</c:v>
              </c:pt>
              <c:pt idx="10">
                <c:v>848393</c:v>
              </c:pt>
              <c:pt idx="11">
                <c:v>1005740</c:v>
              </c:pt>
              <c:pt idx="12">
                <c:v>958231</c:v>
              </c:pt>
              <c:pt idx="13">
                <c:v>872924</c:v>
              </c:pt>
              <c:pt idx="14">
                <c:v>844622</c:v>
              </c:pt>
            </c:numLit>
          </c:val>
          <c:smooth val="0"/>
          <c:extLst>
            <c:ext xmlns:c16="http://schemas.microsoft.com/office/drawing/2014/chart" uri="{C3380CC4-5D6E-409C-BE32-E72D297353CC}">
              <c16:uniqueId val="{00000004-ABFC-4B0F-AC3D-E6C0CDF4B4DB}"/>
            </c:ext>
          </c:extLst>
        </c:ser>
        <c:ser>
          <c:idx val="5"/>
          <c:order val="5"/>
          <c:tx>
            <c:v>Series6</c:v>
          </c:tx>
          <c:spPr>
            <a:ln w="28575" cap="rnd">
              <a:solidFill>
                <a:schemeClr val="accent6"/>
              </a:solidFill>
              <a:round/>
            </a:ln>
            <a:effectLst/>
          </c:spPr>
          <c:marker>
            <c:symbol val="none"/>
          </c:marker>
          <c:cat>
            <c:numLit>
              <c:formatCode>General</c:formatCode>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numLit>
          </c:cat>
          <c:val>
            <c:numLit>
              <c:formatCode>General</c:formatCode>
              <c:ptCount val="15"/>
              <c:pt idx="0">
                <c:v>117112</c:v>
              </c:pt>
              <c:pt idx="1">
                <c:v>119420</c:v>
              </c:pt>
              <c:pt idx="2">
                <c:v>116087</c:v>
              </c:pt>
              <c:pt idx="3">
                <c:v>122997</c:v>
              </c:pt>
              <c:pt idx="4">
                <c:v>194309</c:v>
              </c:pt>
              <c:pt idx="5">
                <c:v>307923</c:v>
              </c:pt>
              <c:pt idx="6">
                <c:v>323595</c:v>
              </c:pt>
              <c:pt idx="7">
                <c:v>363081</c:v>
              </c:pt>
              <c:pt idx="8">
                <c:v>386422</c:v>
              </c:pt>
              <c:pt idx="9">
                <c:v>564867</c:v>
              </c:pt>
              <c:pt idx="10">
                <c:v>874818</c:v>
              </c:pt>
              <c:pt idx="11">
                <c:v>1013170</c:v>
              </c:pt>
              <c:pt idx="12">
                <c:v>930477</c:v>
              </c:pt>
              <c:pt idx="13">
                <c:v>851676</c:v>
              </c:pt>
              <c:pt idx="14">
                <c:v>819476</c:v>
              </c:pt>
            </c:numLit>
          </c:val>
          <c:smooth val="0"/>
          <c:extLst>
            <c:ext xmlns:c16="http://schemas.microsoft.com/office/drawing/2014/chart" uri="{C3380CC4-5D6E-409C-BE32-E72D297353CC}">
              <c16:uniqueId val="{00000005-ABFC-4B0F-AC3D-E6C0CDF4B4DB}"/>
            </c:ext>
          </c:extLst>
        </c:ser>
        <c:dLbls>
          <c:showLegendKey val="0"/>
          <c:showVal val="0"/>
          <c:showCatName val="0"/>
          <c:showSerName val="0"/>
          <c:showPercent val="0"/>
          <c:showBubbleSize val="0"/>
        </c:dLbls>
        <c:smooth val="0"/>
        <c:axId val="1103217647"/>
        <c:axId val="1362611535"/>
      </c:lineChart>
      <c:catAx>
        <c:axId val="110321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11535"/>
        <c:crosses val="autoZero"/>
        <c:auto val="1"/>
        <c:lblAlgn val="ctr"/>
        <c:lblOffset val="100"/>
        <c:noMultiLvlLbl val="0"/>
      </c:catAx>
      <c:valAx>
        <c:axId val="1362611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17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solidFill>
            <a:schemeClr val="accent1"/>
          </a:solidFill>
          <a:ln w="28575" cap="rnd">
            <a:solidFill>
              <a:schemeClr val="accent1"/>
            </a:solidFill>
            <a:round/>
          </a:ln>
          <a:effectLst/>
        </c:spPr>
        <c:marker>
          <c:symbol val="none"/>
        </c:marker>
      </c:pivotFmt>
      <c:pivotFmt>
        <c:idx val="13"/>
        <c:spPr>
          <a:solidFill>
            <a:schemeClr val="accent1"/>
          </a:solidFill>
          <a:ln w="28575" cap="rnd">
            <a:solidFill>
              <a:schemeClr val="accent1"/>
            </a:solidFill>
            <a:round/>
          </a:ln>
          <a:effectLst/>
        </c:spPr>
        <c:marker>
          <c:symbol val="none"/>
        </c:marker>
      </c:pivotFmt>
      <c:pivotFmt>
        <c:idx val="14"/>
        <c:spPr>
          <a:solidFill>
            <a:schemeClr val="accent1"/>
          </a:solidFill>
          <a:ln w="28575" cap="rnd">
            <a:solidFill>
              <a:schemeClr val="accent1"/>
            </a:solidFill>
            <a:round/>
          </a:ln>
          <a:effectLst/>
        </c:spPr>
        <c:marker>
          <c:symbol val="none"/>
        </c:marker>
      </c:pivotFmt>
      <c:pivotFmt>
        <c:idx val="15"/>
        <c:spPr>
          <a:solidFill>
            <a:schemeClr val="accent1"/>
          </a:solidFill>
          <a:ln w="28575" cap="rnd">
            <a:solidFill>
              <a:schemeClr val="accent1"/>
            </a:solidFill>
            <a:round/>
          </a:ln>
          <a:effectLst/>
        </c:spPr>
        <c:marker>
          <c:symbol val="none"/>
        </c:marker>
      </c:pivotFmt>
      <c:pivotFmt>
        <c:idx val="16"/>
        <c:spPr>
          <a:solidFill>
            <a:schemeClr val="accent1"/>
          </a:solidFill>
          <a:ln w="28575" cap="rnd">
            <a:solidFill>
              <a:schemeClr val="accent1"/>
            </a:solidFill>
            <a:round/>
          </a:ln>
          <a:effectLst/>
        </c:spPr>
        <c:marker>
          <c:symbol val="none"/>
        </c:marker>
      </c:pivotFmt>
      <c:pivotFmt>
        <c:idx val="17"/>
        <c:spPr>
          <a:solidFill>
            <a:schemeClr val="accent1"/>
          </a:solidFill>
          <a:ln w="28575" cap="rnd">
            <a:solidFill>
              <a:schemeClr val="accent1"/>
            </a:solidFill>
            <a:round/>
          </a:ln>
          <a:effectLst/>
        </c:spPr>
        <c:marker>
          <c:symbol val="none"/>
        </c:marker>
      </c:pivotFmt>
      <c:pivotFmt>
        <c:idx val="18"/>
        <c:spPr>
          <a:solidFill>
            <a:schemeClr val="accent1"/>
          </a:solidFill>
          <a:ln w="28575" cap="rnd">
            <a:solidFill>
              <a:schemeClr val="accent1"/>
            </a:solidFill>
            <a:round/>
          </a:ln>
          <a:effectLst/>
        </c:spPr>
        <c:marker>
          <c:symbol val="none"/>
        </c:marker>
      </c:pivotFmt>
      <c:pivotFmt>
        <c:idx val="19"/>
        <c:spPr>
          <a:solidFill>
            <a:schemeClr val="accent1"/>
          </a:solidFill>
          <a:ln w="28575" cap="rnd">
            <a:solidFill>
              <a:schemeClr val="accent1"/>
            </a:solidFill>
            <a:round/>
          </a:ln>
          <a:effectLst/>
        </c:spPr>
        <c:marker>
          <c:symbol val="none"/>
        </c:marker>
      </c:pivotFmt>
      <c:pivotFmt>
        <c:idx val="20"/>
        <c:spPr>
          <a:solidFill>
            <a:schemeClr val="accent1"/>
          </a:solidFill>
          <a:ln w="28575" cap="rnd">
            <a:solidFill>
              <a:schemeClr val="accent1"/>
            </a:solidFill>
            <a:round/>
          </a:ln>
          <a:effectLst/>
        </c:spPr>
        <c:marker>
          <c:symbol val="none"/>
        </c:marker>
      </c:pivotFmt>
      <c:pivotFmt>
        <c:idx val="21"/>
        <c:spPr>
          <a:solidFill>
            <a:schemeClr val="accent1"/>
          </a:solidFill>
          <a:ln w="28575" cap="rnd">
            <a:solidFill>
              <a:schemeClr val="accent1"/>
            </a:solidFill>
            <a:round/>
          </a:ln>
          <a:effectLst/>
        </c:spPr>
        <c:marker>
          <c:symbol val="none"/>
        </c:marker>
      </c:pivotFmt>
      <c:pivotFmt>
        <c:idx val="22"/>
        <c:spPr>
          <a:solidFill>
            <a:schemeClr val="accent1"/>
          </a:solidFill>
          <a:ln w="28575" cap="rnd">
            <a:solidFill>
              <a:schemeClr val="accent1"/>
            </a:solidFill>
            <a:round/>
          </a:ln>
          <a:effectLst/>
        </c:spPr>
        <c:marker>
          <c:symbol val="none"/>
        </c:marker>
      </c:pivotFmt>
      <c:pivotFmt>
        <c:idx val="23"/>
        <c:spPr>
          <a:solidFill>
            <a:schemeClr val="accent1"/>
          </a:solidFill>
          <a:ln w="28575" cap="rnd">
            <a:solidFill>
              <a:schemeClr val="accent1"/>
            </a:solidFill>
            <a:round/>
          </a:ln>
          <a:effectLst/>
        </c:spPr>
        <c:marker>
          <c:symbol val="none"/>
        </c:marker>
      </c:pivotFmt>
      <c:pivotFmt>
        <c:idx val="24"/>
        <c:spPr>
          <a:ln w="28575" cap="rnd">
            <a:solidFill>
              <a:schemeClr val="accent1"/>
            </a:solidFill>
            <a:round/>
          </a:ln>
          <a:effectLst/>
        </c:spPr>
        <c:marker>
          <c:symbol val="none"/>
        </c:marker>
      </c:pivotFmt>
      <c:pivotFmt>
        <c:idx val="25"/>
        <c:spPr>
          <a:ln w="28575" cap="rnd">
            <a:solidFill>
              <a:schemeClr val="accent1"/>
            </a:solidFill>
            <a:round/>
          </a:ln>
          <a:effectLst/>
        </c:spPr>
        <c:marker>
          <c:symbol val="none"/>
        </c:marker>
      </c:pivotFmt>
      <c:pivotFmt>
        <c:idx val="26"/>
        <c:spPr>
          <a:ln w="28575" cap="rnd">
            <a:solidFill>
              <a:schemeClr val="accent1"/>
            </a:solidFill>
            <a:round/>
          </a:ln>
          <a:effectLst/>
        </c:spPr>
        <c:marker>
          <c:symbol val="none"/>
        </c:marker>
      </c:pivotFmt>
      <c:pivotFmt>
        <c:idx val="27"/>
        <c:spPr>
          <a:ln w="28575" cap="rnd">
            <a:solidFill>
              <a:schemeClr val="accent1"/>
            </a:solidFill>
            <a:round/>
          </a:ln>
          <a:effectLst/>
        </c:spPr>
        <c:marker>
          <c:symbol val="none"/>
        </c:marker>
      </c:pivotFmt>
      <c:pivotFmt>
        <c:idx val="28"/>
        <c:spPr>
          <a:ln w="28575" cap="rnd">
            <a:solidFill>
              <a:schemeClr val="accent1"/>
            </a:solidFill>
            <a:round/>
          </a:ln>
          <a:effectLst/>
        </c:spPr>
        <c:marker>
          <c:symbol val="none"/>
        </c:marker>
      </c:pivotFmt>
      <c:pivotFmt>
        <c:idx val="29"/>
        <c:spPr>
          <a:ln w="28575" cap="rnd">
            <a:solidFill>
              <a:schemeClr val="accent1"/>
            </a:solidFill>
            <a:round/>
          </a:ln>
          <a:effectLst/>
        </c:spPr>
        <c:marker>
          <c:symbol val="none"/>
        </c:marker>
      </c:pivotFmt>
    </c:pivotFmts>
    <c:plotArea>
      <c:layout/>
      <c:lineChart>
        <c:grouping val="standard"/>
        <c:varyColors val="0"/>
        <c:ser>
          <c:idx val="0"/>
          <c:order val="0"/>
          <c:tx>
            <c:v>1</c:v>
          </c:tx>
          <c:spPr>
            <a:ln w="28575" cap="rnd">
              <a:solidFill>
                <a:schemeClr val="accent1"/>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0.53448700000000005</c:v>
              </c:pt>
              <c:pt idx="1">
                <c:v>0.53232800000000002</c:v>
              </c:pt>
              <c:pt idx="2">
                <c:v>0.547736</c:v>
              </c:pt>
              <c:pt idx="3">
                <c:v>0.54084600000000005</c:v>
              </c:pt>
              <c:pt idx="4">
                <c:v>0.591167</c:v>
              </c:pt>
              <c:pt idx="5">
                <c:v>0.57541699999999996</c:v>
              </c:pt>
              <c:pt idx="6">
                <c:v>0.594495</c:v>
              </c:pt>
              <c:pt idx="7">
                <c:v>0.59740899999999997</c:v>
              </c:pt>
              <c:pt idx="8">
                <c:v>0.63852200000000003</c:v>
              </c:pt>
              <c:pt idx="9">
                <c:v>0.67628699999999997</c:v>
              </c:pt>
              <c:pt idx="10">
                <c:v>0.60573500000000002</c:v>
              </c:pt>
              <c:pt idx="11">
                <c:v>0.61436000000000002</c:v>
              </c:pt>
              <c:pt idx="12">
                <c:v>0.63336599999999998</c:v>
              </c:pt>
              <c:pt idx="13">
                <c:v>0.65011699999999994</c:v>
              </c:pt>
              <c:pt idx="14">
                <c:v>0.62560300000000002</c:v>
              </c:pt>
            </c:numLit>
          </c:val>
          <c:smooth val="0"/>
          <c:extLst>
            <c:ext xmlns:c16="http://schemas.microsoft.com/office/drawing/2014/chart" uri="{C3380CC4-5D6E-409C-BE32-E72D297353CC}">
              <c16:uniqueId val="{00000000-9D59-410E-B558-C3897F01F1C9}"/>
            </c:ext>
          </c:extLst>
        </c:ser>
        <c:ser>
          <c:idx val="1"/>
          <c:order val="1"/>
          <c:tx>
            <c:v>2</c:v>
          </c:tx>
          <c:spPr>
            <a:ln w="28575" cap="rnd">
              <a:solidFill>
                <a:schemeClr val="accent2"/>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0.49085099999999998</c:v>
              </c:pt>
              <c:pt idx="1">
                <c:v>0.47344900000000001</c:v>
              </c:pt>
              <c:pt idx="2">
                <c:v>0.50301300000000004</c:v>
              </c:pt>
              <c:pt idx="3">
                <c:v>0.51250099999999998</c:v>
              </c:pt>
              <c:pt idx="4">
                <c:v>0.56678200000000001</c:v>
              </c:pt>
              <c:pt idx="5">
                <c:v>0.55813299999999999</c:v>
              </c:pt>
              <c:pt idx="6">
                <c:v>0.55879900000000005</c:v>
              </c:pt>
              <c:pt idx="7">
                <c:v>0.57206999999999997</c:v>
              </c:pt>
              <c:pt idx="8">
                <c:v>0.62476299999999996</c:v>
              </c:pt>
              <c:pt idx="9">
                <c:v>0.62870599999999999</c:v>
              </c:pt>
              <c:pt idx="10">
                <c:v>0.58914999999999995</c:v>
              </c:pt>
              <c:pt idx="11">
                <c:v>0.53261199999999997</c:v>
              </c:pt>
              <c:pt idx="12">
                <c:v>0.52665200000000001</c:v>
              </c:pt>
              <c:pt idx="13">
                <c:v>0.54016299999999995</c:v>
              </c:pt>
              <c:pt idx="14">
                <c:v>0.528775</c:v>
              </c:pt>
            </c:numLit>
          </c:val>
          <c:smooth val="0"/>
          <c:extLst>
            <c:ext xmlns:c16="http://schemas.microsoft.com/office/drawing/2014/chart" uri="{C3380CC4-5D6E-409C-BE32-E72D297353CC}">
              <c16:uniqueId val="{00000001-9D59-410E-B558-C3897F01F1C9}"/>
            </c:ext>
          </c:extLst>
        </c:ser>
        <c:ser>
          <c:idx val="2"/>
          <c:order val="2"/>
          <c:tx>
            <c:v>3</c:v>
          </c:tx>
          <c:spPr>
            <a:ln w="28575" cap="rnd">
              <a:solidFill>
                <a:schemeClr val="accent3"/>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0.52433399999999997</c:v>
              </c:pt>
              <c:pt idx="1">
                <c:v>0.53718500000000002</c:v>
              </c:pt>
              <c:pt idx="2">
                <c:v>0.58211900000000005</c:v>
              </c:pt>
              <c:pt idx="3">
                <c:v>0.57948900000000003</c:v>
              </c:pt>
              <c:pt idx="4">
                <c:v>0.60659200000000002</c:v>
              </c:pt>
              <c:pt idx="5">
                <c:v>0.60726999999999998</c:v>
              </c:pt>
              <c:pt idx="6">
                <c:v>0.58242499999999997</c:v>
              </c:pt>
              <c:pt idx="7">
                <c:v>0.57397200000000004</c:v>
              </c:pt>
              <c:pt idx="8">
                <c:v>0.65425599999999995</c:v>
              </c:pt>
              <c:pt idx="9">
                <c:v>0.63105500000000003</c:v>
              </c:pt>
              <c:pt idx="10">
                <c:v>0.56923999999999997</c:v>
              </c:pt>
              <c:pt idx="11">
                <c:v>0.58968200000000004</c:v>
              </c:pt>
              <c:pt idx="12">
                <c:v>0.58795299999999995</c:v>
              </c:pt>
              <c:pt idx="13">
                <c:v>0.565388</c:v>
              </c:pt>
              <c:pt idx="14">
                <c:v>0.57707799999999998</c:v>
              </c:pt>
            </c:numLit>
          </c:val>
          <c:smooth val="0"/>
          <c:extLst>
            <c:ext xmlns:c16="http://schemas.microsoft.com/office/drawing/2014/chart" uri="{C3380CC4-5D6E-409C-BE32-E72D297353CC}">
              <c16:uniqueId val="{00000002-9D59-410E-B558-C3897F01F1C9}"/>
            </c:ext>
          </c:extLst>
        </c:ser>
        <c:ser>
          <c:idx val="3"/>
          <c:order val="3"/>
          <c:tx>
            <c:v>4</c:v>
          </c:tx>
          <c:spPr>
            <a:ln w="28575" cap="rnd">
              <a:solidFill>
                <a:schemeClr val="accent4"/>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0.43206600000000001</c:v>
              </c:pt>
              <c:pt idx="1">
                <c:v>0.43966899999999998</c:v>
              </c:pt>
              <c:pt idx="2">
                <c:v>0.48893199999999998</c:v>
              </c:pt>
              <c:pt idx="3">
                <c:v>0.48418099999999997</c:v>
              </c:pt>
              <c:pt idx="4">
                <c:v>0.52992499999999998</c:v>
              </c:pt>
              <c:pt idx="5">
                <c:v>0.53272299999999995</c:v>
              </c:pt>
              <c:pt idx="6">
                <c:v>0.54906699999999997</c:v>
              </c:pt>
              <c:pt idx="7">
                <c:v>0.55713999999999997</c:v>
              </c:pt>
              <c:pt idx="8">
                <c:v>0.61137699999999995</c:v>
              </c:pt>
              <c:pt idx="9">
                <c:v>0.64531899999999998</c:v>
              </c:pt>
              <c:pt idx="10">
                <c:v>0.611734</c:v>
              </c:pt>
              <c:pt idx="11">
                <c:v>0.58088399999999996</c:v>
              </c:pt>
              <c:pt idx="12">
                <c:v>0.57204699999999997</c:v>
              </c:pt>
              <c:pt idx="13">
                <c:v>0.59457000000000004</c:v>
              </c:pt>
              <c:pt idx="14">
                <c:v>0.58552499999999996</c:v>
              </c:pt>
            </c:numLit>
          </c:val>
          <c:smooth val="0"/>
          <c:extLst>
            <c:ext xmlns:c16="http://schemas.microsoft.com/office/drawing/2014/chart" uri="{C3380CC4-5D6E-409C-BE32-E72D297353CC}">
              <c16:uniqueId val="{00000003-9D59-410E-B558-C3897F01F1C9}"/>
            </c:ext>
          </c:extLst>
        </c:ser>
        <c:ser>
          <c:idx val="4"/>
          <c:order val="4"/>
          <c:tx>
            <c:v>5</c:v>
          </c:tx>
          <c:spPr>
            <a:ln w="28575" cap="rnd">
              <a:solidFill>
                <a:schemeClr val="accent5"/>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0.44287500000000002</c:v>
              </c:pt>
              <c:pt idx="1">
                <c:v>0.46247300000000002</c:v>
              </c:pt>
              <c:pt idx="2">
                <c:v>0.51911799999999997</c:v>
              </c:pt>
              <c:pt idx="3">
                <c:v>0.529331</c:v>
              </c:pt>
              <c:pt idx="4">
                <c:v>0.55779699999999999</c:v>
              </c:pt>
              <c:pt idx="5">
                <c:v>0.55618100000000004</c:v>
              </c:pt>
              <c:pt idx="6">
                <c:v>0.56932700000000003</c:v>
              </c:pt>
              <c:pt idx="7">
                <c:v>0.58346500000000001</c:v>
              </c:pt>
              <c:pt idx="8">
                <c:v>0.63181799999999999</c:v>
              </c:pt>
              <c:pt idx="9">
                <c:v>0.60472300000000001</c:v>
              </c:pt>
              <c:pt idx="10">
                <c:v>0.58792100000000003</c:v>
              </c:pt>
              <c:pt idx="11">
                <c:v>0.61615900000000001</c:v>
              </c:pt>
              <c:pt idx="12">
                <c:v>0.60586799999999996</c:v>
              </c:pt>
              <c:pt idx="13">
                <c:v>0.59468799999999999</c:v>
              </c:pt>
              <c:pt idx="14">
                <c:v>0.63554500000000003</c:v>
              </c:pt>
            </c:numLit>
          </c:val>
          <c:smooth val="0"/>
          <c:extLst>
            <c:ext xmlns:c16="http://schemas.microsoft.com/office/drawing/2014/chart" uri="{C3380CC4-5D6E-409C-BE32-E72D297353CC}">
              <c16:uniqueId val="{00000004-9D59-410E-B558-C3897F01F1C9}"/>
            </c:ext>
          </c:extLst>
        </c:ser>
        <c:ser>
          <c:idx val="5"/>
          <c:order val="5"/>
          <c:tx>
            <c:v>6</c:v>
          </c:tx>
          <c:spPr>
            <a:ln w="28575" cap="rnd">
              <a:solidFill>
                <a:schemeClr val="accent6"/>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0.44853900000000002</c:v>
              </c:pt>
              <c:pt idx="1">
                <c:v>0.47588900000000001</c:v>
              </c:pt>
              <c:pt idx="2">
                <c:v>0.50056199999999995</c:v>
              </c:pt>
              <c:pt idx="3">
                <c:v>0.50034400000000001</c:v>
              </c:pt>
              <c:pt idx="4">
                <c:v>0.52889699999999995</c:v>
              </c:pt>
              <c:pt idx="5">
                <c:v>0.495361</c:v>
              </c:pt>
              <c:pt idx="6">
                <c:v>0.51034199999999996</c:v>
              </c:pt>
              <c:pt idx="7">
                <c:v>0.51829599999999998</c:v>
              </c:pt>
              <c:pt idx="8">
                <c:v>0.54672299999999996</c:v>
              </c:pt>
              <c:pt idx="9">
                <c:v>0.55427599999999999</c:v>
              </c:pt>
              <c:pt idx="10">
                <c:v>0.51776599999999995</c:v>
              </c:pt>
              <c:pt idx="11">
                <c:v>0.58004900000000004</c:v>
              </c:pt>
              <c:pt idx="12">
                <c:v>0.55602399999999996</c:v>
              </c:pt>
              <c:pt idx="13">
                <c:v>0.53779100000000002</c:v>
              </c:pt>
              <c:pt idx="14">
                <c:v>0.52577499999999999</c:v>
              </c:pt>
            </c:numLit>
          </c:val>
          <c:smooth val="0"/>
          <c:extLst>
            <c:ext xmlns:c16="http://schemas.microsoft.com/office/drawing/2014/chart" uri="{C3380CC4-5D6E-409C-BE32-E72D297353CC}">
              <c16:uniqueId val="{00000005-9D59-410E-B558-C3897F01F1C9}"/>
            </c:ext>
          </c:extLst>
        </c:ser>
        <c:dLbls>
          <c:showLegendKey val="0"/>
          <c:showVal val="0"/>
          <c:showCatName val="0"/>
          <c:showSerName val="0"/>
          <c:showPercent val="0"/>
          <c:showBubbleSize val="0"/>
        </c:dLbls>
        <c:smooth val="0"/>
        <c:axId val="1367478687"/>
        <c:axId val="1476062239"/>
      </c:lineChart>
      <c:catAx>
        <c:axId val="136747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62239"/>
        <c:crosses val="autoZero"/>
        <c:auto val="1"/>
        <c:lblAlgn val="ctr"/>
        <c:lblOffset val="100"/>
        <c:noMultiLvlLbl val="0"/>
      </c:catAx>
      <c:valAx>
        <c:axId val="147606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7478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solidFill>
            <a:schemeClr val="accent1"/>
          </a:solidFill>
          <a:ln w="28575" cap="rnd">
            <a:solidFill>
              <a:schemeClr val="accent1"/>
            </a:solidFill>
            <a:round/>
          </a:ln>
          <a:effectLst/>
        </c:spPr>
        <c:marker>
          <c:symbol val="none"/>
        </c:marker>
      </c:pivotFmt>
      <c:pivotFmt>
        <c:idx val="11"/>
        <c:spPr>
          <a:solidFill>
            <a:schemeClr val="accent1"/>
          </a:solidFill>
          <a:ln w="28575" cap="rnd">
            <a:solidFill>
              <a:schemeClr val="accent1"/>
            </a:solidFill>
            <a:round/>
          </a:ln>
          <a:effectLst/>
        </c:spPr>
        <c:marker>
          <c:symbol val="none"/>
        </c:marker>
      </c:pivotFmt>
      <c:pivotFmt>
        <c:idx val="12"/>
        <c:spPr>
          <a:ln w="28575" cap="rnd">
            <a:solidFill>
              <a:schemeClr val="accent1"/>
            </a:solidFill>
            <a:round/>
          </a:ln>
          <a:effectLst/>
        </c:spPr>
        <c:marker>
          <c:symbol val="none"/>
        </c:marker>
      </c:pivotFmt>
      <c:pivotFmt>
        <c:idx val="13"/>
        <c:spPr>
          <a:ln w="28575" cap="rnd">
            <a:solidFill>
              <a:schemeClr val="accent1"/>
            </a:solidFill>
            <a:round/>
          </a:ln>
          <a:effectLst/>
        </c:spPr>
        <c:marker>
          <c:symbol val="none"/>
        </c:marker>
      </c:pivotFmt>
      <c:pivotFmt>
        <c:idx val="14"/>
        <c:spPr>
          <a:ln w="28575" cap="rnd">
            <a:solidFill>
              <a:schemeClr val="accent1"/>
            </a:solidFill>
            <a:round/>
          </a:ln>
          <a:effectLst/>
        </c:spPr>
        <c:marker>
          <c:symbol val="none"/>
        </c:marker>
      </c:pivotFmt>
      <c:pivotFmt>
        <c:idx val="15"/>
        <c:spPr>
          <a:ln w="28575" cap="rnd">
            <a:solidFill>
              <a:schemeClr val="accent1"/>
            </a:solidFill>
            <a:round/>
          </a:ln>
          <a:effectLst/>
        </c:spPr>
        <c:marker>
          <c:symbol val="none"/>
        </c:marker>
      </c:pivotFmt>
      <c:pivotFmt>
        <c:idx val="16"/>
        <c:spPr>
          <a:ln w="28575" cap="rnd">
            <a:solidFill>
              <a:schemeClr val="accent1"/>
            </a:solidFill>
            <a:round/>
          </a:ln>
          <a:effectLst/>
        </c:spPr>
        <c:marker>
          <c:symbol val="none"/>
        </c:marker>
      </c:pivotFmt>
      <c:pivotFmt>
        <c:idx val="17"/>
        <c:spPr>
          <a:ln w="28575" cap="rnd">
            <a:solidFill>
              <a:schemeClr val="accent1"/>
            </a:solidFill>
            <a:round/>
          </a:ln>
          <a:effectLst/>
        </c:spPr>
        <c:marker>
          <c:symbol val="none"/>
        </c:marker>
      </c:pivotFmt>
    </c:pivotFmts>
    <c:plotArea>
      <c:layout/>
      <c:lineChart>
        <c:grouping val="standard"/>
        <c:varyColors val="0"/>
        <c:ser>
          <c:idx val="0"/>
          <c:order val="0"/>
          <c:tx>
            <c:v>1</c:v>
          </c:tx>
          <c:spPr>
            <a:ln w="28575" cap="rnd">
              <a:solidFill>
                <a:schemeClr val="accent1"/>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1140640</c:v>
              </c:pt>
              <c:pt idx="1">
                <c:v>1215690</c:v>
              </c:pt>
              <c:pt idx="2">
                <c:v>1309570</c:v>
              </c:pt>
              <c:pt idx="3">
                <c:v>1511530</c:v>
              </c:pt>
              <c:pt idx="4">
                <c:v>1676730</c:v>
              </c:pt>
              <c:pt idx="5">
                <c:v>1823740</c:v>
              </c:pt>
              <c:pt idx="6">
                <c:v>2022890</c:v>
              </c:pt>
              <c:pt idx="7">
                <c:v>2314760</c:v>
              </c:pt>
              <c:pt idx="8">
                <c:v>2639160</c:v>
              </c:pt>
              <c:pt idx="9">
                <c:v>3247620</c:v>
              </c:pt>
              <c:pt idx="10">
                <c:v>3787750</c:v>
              </c:pt>
              <c:pt idx="11">
                <c:v>3867750</c:v>
              </c:pt>
              <c:pt idx="12">
                <c:v>3996020</c:v>
              </c:pt>
              <c:pt idx="13">
                <c:v>4282880</c:v>
              </c:pt>
              <c:pt idx="14">
                <c:v>4748320</c:v>
              </c:pt>
            </c:numLit>
          </c:val>
          <c:smooth val="0"/>
          <c:extLst>
            <c:ext xmlns:c16="http://schemas.microsoft.com/office/drawing/2014/chart" uri="{C3380CC4-5D6E-409C-BE32-E72D297353CC}">
              <c16:uniqueId val="{00000000-C13E-47D0-84F7-E9E9373992DB}"/>
            </c:ext>
          </c:extLst>
        </c:ser>
        <c:ser>
          <c:idx val="1"/>
          <c:order val="1"/>
          <c:tx>
            <c:v>2</c:v>
          </c:tx>
          <c:spPr>
            <a:ln w="28575" cap="rnd">
              <a:solidFill>
                <a:schemeClr val="accent2"/>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569292</c:v>
              </c:pt>
              <c:pt idx="1">
                <c:v>640614</c:v>
              </c:pt>
              <c:pt idx="2">
                <c:v>777655</c:v>
              </c:pt>
              <c:pt idx="3">
                <c:v>999294</c:v>
              </c:pt>
              <c:pt idx="4">
                <c:v>1203970</c:v>
              </c:pt>
              <c:pt idx="5">
                <c:v>1358100</c:v>
              </c:pt>
              <c:pt idx="6">
                <c:v>1501350</c:v>
              </c:pt>
              <c:pt idx="7">
                <c:v>1709270</c:v>
              </c:pt>
              <c:pt idx="8">
                <c:v>2025400</c:v>
              </c:pt>
              <c:pt idx="9">
                <c:v>2548370</c:v>
              </c:pt>
              <c:pt idx="10">
                <c:v>3137740</c:v>
              </c:pt>
              <c:pt idx="11">
                <c:v>3557700</c:v>
              </c:pt>
              <c:pt idx="12">
                <c:v>3717740</c:v>
              </c:pt>
              <c:pt idx="13">
                <c:v>3962370</c:v>
              </c:pt>
              <c:pt idx="14">
                <c:v>4209390</c:v>
              </c:pt>
            </c:numLit>
          </c:val>
          <c:smooth val="0"/>
          <c:extLst>
            <c:ext xmlns:c16="http://schemas.microsoft.com/office/drawing/2014/chart" uri="{C3380CC4-5D6E-409C-BE32-E72D297353CC}">
              <c16:uniqueId val="{00000001-C13E-47D0-84F7-E9E9373992DB}"/>
            </c:ext>
          </c:extLst>
        </c:ser>
        <c:ser>
          <c:idx val="2"/>
          <c:order val="2"/>
          <c:tx>
            <c:v>3</c:v>
          </c:tx>
          <c:spPr>
            <a:ln w="28575" cap="rnd">
              <a:solidFill>
                <a:schemeClr val="accent3"/>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286298</c:v>
              </c:pt>
              <c:pt idx="1">
                <c:v>309290</c:v>
              </c:pt>
              <c:pt idx="2">
                <c:v>342056</c:v>
              </c:pt>
              <c:pt idx="3">
                <c:v>374595</c:v>
              </c:pt>
              <c:pt idx="4">
                <c:v>450037</c:v>
              </c:pt>
              <c:pt idx="5">
                <c:v>510412</c:v>
              </c:pt>
              <c:pt idx="6">
                <c:v>575347</c:v>
              </c:pt>
              <c:pt idx="7">
                <c:v>669331</c:v>
              </c:pt>
              <c:pt idx="8">
                <c:v>783799</c:v>
              </c:pt>
              <c:pt idx="9">
                <c:v>913883</c:v>
              </c:pt>
              <c:pt idx="10">
                <c:v>1041520</c:v>
              </c:pt>
              <c:pt idx="11">
                <c:v>1125800</c:v>
              </c:pt>
              <c:pt idx="12">
                <c:v>1096070</c:v>
              </c:pt>
              <c:pt idx="13">
                <c:v>1198930</c:v>
              </c:pt>
              <c:pt idx="14">
                <c:v>1170470</c:v>
              </c:pt>
            </c:numLit>
          </c:val>
          <c:smooth val="0"/>
          <c:extLst>
            <c:ext xmlns:c16="http://schemas.microsoft.com/office/drawing/2014/chart" uri="{C3380CC4-5D6E-409C-BE32-E72D297353CC}">
              <c16:uniqueId val="{00000002-C13E-47D0-84F7-E9E9373992DB}"/>
            </c:ext>
          </c:extLst>
        </c:ser>
        <c:ser>
          <c:idx val="3"/>
          <c:order val="3"/>
          <c:tx>
            <c:v>4</c:v>
          </c:tx>
          <c:spPr>
            <a:ln w="28575" cap="rnd">
              <a:solidFill>
                <a:schemeClr val="accent4"/>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145167</c:v>
              </c:pt>
              <c:pt idx="1">
                <c:v>170192</c:v>
              </c:pt>
              <c:pt idx="2">
                <c:v>247506</c:v>
              </c:pt>
              <c:pt idx="3">
                <c:v>309391</c:v>
              </c:pt>
              <c:pt idx="4">
                <c:v>354338</c:v>
              </c:pt>
              <c:pt idx="5">
                <c:v>373941</c:v>
              </c:pt>
              <c:pt idx="6">
                <c:v>420915</c:v>
              </c:pt>
              <c:pt idx="7">
                <c:v>474017</c:v>
              </c:pt>
              <c:pt idx="8">
                <c:v>532590</c:v>
              </c:pt>
              <c:pt idx="9">
                <c:v>676771</c:v>
              </c:pt>
              <c:pt idx="10">
                <c:v>880438</c:v>
              </c:pt>
              <c:pt idx="11">
                <c:v>1052020</c:v>
              </c:pt>
              <c:pt idx="12">
                <c:v>1193680</c:v>
              </c:pt>
              <c:pt idx="13">
                <c:v>1303390</c:v>
              </c:pt>
              <c:pt idx="14">
                <c:v>1436970</c:v>
              </c:pt>
            </c:numLit>
          </c:val>
          <c:smooth val="0"/>
          <c:extLst>
            <c:ext xmlns:c16="http://schemas.microsoft.com/office/drawing/2014/chart" uri="{C3380CC4-5D6E-409C-BE32-E72D297353CC}">
              <c16:uniqueId val="{00000003-C13E-47D0-84F7-E9E9373992DB}"/>
            </c:ext>
          </c:extLst>
        </c:ser>
        <c:ser>
          <c:idx val="4"/>
          <c:order val="4"/>
          <c:tx>
            <c:v>5</c:v>
          </c:tx>
          <c:spPr>
            <a:ln w="28575" cap="rnd">
              <a:solidFill>
                <a:schemeClr val="accent5"/>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91361</c:v>
              </c:pt>
              <c:pt idx="1">
                <c:v>95428</c:v>
              </c:pt>
              <c:pt idx="2">
                <c:v>98187</c:v>
              </c:pt>
              <c:pt idx="3">
                <c:v>115967</c:v>
              </c:pt>
              <c:pt idx="4">
                <c:v>138382</c:v>
              </c:pt>
              <c:pt idx="5">
                <c:v>156228</c:v>
              </c:pt>
              <c:pt idx="6">
                <c:v>183169</c:v>
              </c:pt>
              <c:pt idx="7">
                <c:v>210212</c:v>
              </c:pt>
              <c:pt idx="8">
                <c:v>274024</c:v>
              </c:pt>
              <c:pt idx="9">
                <c:v>356915</c:v>
              </c:pt>
              <c:pt idx="10">
                <c:v>432344</c:v>
              </c:pt>
              <c:pt idx="11">
                <c:v>524294</c:v>
              </c:pt>
              <c:pt idx="12">
                <c:v>530924</c:v>
              </c:pt>
              <c:pt idx="13">
                <c:v>581447</c:v>
              </c:pt>
              <c:pt idx="14">
                <c:v>610257</c:v>
              </c:pt>
            </c:numLit>
          </c:val>
          <c:smooth val="0"/>
          <c:extLst>
            <c:ext xmlns:c16="http://schemas.microsoft.com/office/drawing/2014/chart" uri="{C3380CC4-5D6E-409C-BE32-E72D297353CC}">
              <c16:uniqueId val="{00000004-C13E-47D0-84F7-E9E9373992DB}"/>
            </c:ext>
          </c:extLst>
        </c:ser>
        <c:ser>
          <c:idx val="5"/>
          <c:order val="5"/>
          <c:tx>
            <c:v>6</c:v>
          </c:tx>
          <c:spPr>
            <a:ln w="28575" cap="rnd">
              <a:solidFill>
                <a:schemeClr val="accent6"/>
              </a:solidFill>
              <a:round/>
            </a:ln>
            <a:effectLst/>
          </c:spPr>
          <c:marker>
            <c:symbol val="none"/>
          </c:marker>
          <c:cat>
            <c:strLit>
              <c:ptCount val="1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strLit>
          </c:cat>
          <c:val>
            <c:numLit>
              <c:formatCode>General</c:formatCode>
              <c:ptCount val="15"/>
              <c:pt idx="0">
                <c:v>68978</c:v>
              </c:pt>
              <c:pt idx="1">
                <c:v>74904</c:v>
              </c:pt>
              <c:pt idx="2">
                <c:v>83829</c:v>
              </c:pt>
              <c:pt idx="3">
                <c:v>98148</c:v>
              </c:pt>
              <c:pt idx="4">
                <c:v>118449</c:v>
              </c:pt>
              <c:pt idx="5">
                <c:v>133161</c:v>
              </c:pt>
              <c:pt idx="6">
                <c:v>145062</c:v>
              </c:pt>
              <c:pt idx="7">
                <c:v>170711</c:v>
              </c:pt>
              <c:pt idx="8">
                <c:v>199775</c:v>
              </c:pt>
              <c:pt idx="9">
                <c:v>276797</c:v>
              </c:pt>
              <c:pt idx="10">
                <c:v>381478</c:v>
              </c:pt>
              <c:pt idx="11">
                <c:v>506969</c:v>
              </c:pt>
              <c:pt idx="12">
                <c:v>633388</c:v>
              </c:pt>
              <c:pt idx="13">
                <c:v>804388</c:v>
              </c:pt>
              <c:pt idx="14">
                <c:v>1009500</c:v>
              </c:pt>
            </c:numLit>
          </c:val>
          <c:smooth val="0"/>
          <c:extLst>
            <c:ext xmlns:c16="http://schemas.microsoft.com/office/drawing/2014/chart" uri="{C3380CC4-5D6E-409C-BE32-E72D297353CC}">
              <c16:uniqueId val="{00000005-C13E-47D0-84F7-E9E9373992DB}"/>
            </c:ext>
          </c:extLst>
        </c:ser>
        <c:dLbls>
          <c:showLegendKey val="0"/>
          <c:showVal val="0"/>
          <c:showCatName val="0"/>
          <c:showSerName val="0"/>
          <c:showPercent val="0"/>
          <c:showBubbleSize val="0"/>
        </c:dLbls>
        <c:smooth val="0"/>
        <c:axId val="1362095199"/>
        <c:axId val="1592145679"/>
      </c:lineChart>
      <c:catAx>
        <c:axId val="136209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2145679"/>
        <c:crosses val="autoZero"/>
        <c:auto val="1"/>
        <c:lblAlgn val="ctr"/>
        <c:lblOffset val="100"/>
        <c:noMultiLvlLbl val="0"/>
      </c:catAx>
      <c:valAx>
        <c:axId val="1592145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095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241300</xdr:colOff>
      <xdr:row>0</xdr:row>
      <xdr:rowOff>146050</xdr:rowOff>
    </xdr:from>
    <xdr:to>
      <xdr:col>11</xdr:col>
      <xdr:colOff>266700</xdr:colOff>
      <xdr:row>11</xdr:row>
      <xdr:rowOff>31750</xdr:rowOff>
    </xdr:to>
    <xdr:sp macro="" textlink="">
      <xdr:nvSpPr>
        <xdr:cNvPr id="2" name="TextBox 1">
          <a:extLst>
            <a:ext uri="{FF2B5EF4-FFF2-40B4-BE49-F238E27FC236}">
              <a16:creationId xmlns:a16="http://schemas.microsoft.com/office/drawing/2014/main" id="{3CA441E4-3437-4000-85FA-8FD89B187EC7}"/>
            </a:ext>
          </a:extLst>
        </xdr:cNvPr>
        <xdr:cNvSpPr txBox="1"/>
      </xdr:nvSpPr>
      <xdr:spPr>
        <a:xfrm>
          <a:off x="6134100" y="146050"/>
          <a:ext cx="3073400" cy="2171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t>Output</a:t>
          </a:r>
          <a:r>
            <a:rPr lang="en-GB" sz="1200" b="1" baseline="0"/>
            <a:t> shows the strongest correlation with costs (r= 0.926). This is corroborated by the scatter plot which confirms a clear upward linear trend indicating output is an effective predictor for forecasting future airline costs. However load factor and fuel price appear to influence cost moderately and this will be tested using a multiple linear regression model in the next worsksheet. Correlation values are not at risk of multicollinearity,</a:t>
          </a:r>
          <a:endParaRPr lang="en-GB" sz="12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317500</xdr:colOff>
      <xdr:row>2</xdr:row>
      <xdr:rowOff>95250</xdr:rowOff>
    </xdr:from>
    <xdr:to>
      <xdr:col>17</xdr:col>
      <xdr:colOff>114300</xdr:colOff>
      <xdr:row>16</xdr:row>
      <xdr:rowOff>95250</xdr:rowOff>
    </xdr:to>
    <xdr:graphicFrame macro="">
      <xdr:nvGraphicFramePr>
        <xdr:cNvPr id="4" name="Chart 3">
          <a:extLst>
            <a:ext uri="{FF2B5EF4-FFF2-40B4-BE49-F238E27FC236}">
              <a16:creationId xmlns:a16="http://schemas.microsoft.com/office/drawing/2014/main" id="{518B46AA-541A-4BE4-8042-B6C846259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177800</xdr:colOff>
      <xdr:row>19</xdr:row>
      <xdr:rowOff>82550</xdr:rowOff>
    </xdr:from>
    <xdr:to>
      <xdr:col>8</xdr:col>
      <xdr:colOff>482600</xdr:colOff>
      <xdr:row>32</xdr:row>
      <xdr:rowOff>158750</xdr:rowOff>
    </xdr:to>
    <xdr:graphicFrame macro="">
      <xdr:nvGraphicFramePr>
        <xdr:cNvPr id="6" name="Chart 5">
          <a:extLst>
            <a:ext uri="{FF2B5EF4-FFF2-40B4-BE49-F238E27FC236}">
              <a16:creationId xmlns:a16="http://schemas.microsoft.com/office/drawing/2014/main" id="{CCD4EDAE-A1A1-4766-A389-DC3FFDDAF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298450</xdr:colOff>
      <xdr:row>19</xdr:row>
      <xdr:rowOff>114300</xdr:rowOff>
    </xdr:from>
    <xdr:to>
      <xdr:col>17</xdr:col>
      <xdr:colOff>254000</xdr:colOff>
      <xdr:row>33</xdr:row>
      <xdr:rowOff>25400</xdr:rowOff>
    </xdr:to>
    <xdr:graphicFrame macro="">
      <xdr:nvGraphicFramePr>
        <xdr:cNvPr id="7" name="Chart 6">
          <a:extLst>
            <a:ext uri="{FF2B5EF4-FFF2-40B4-BE49-F238E27FC236}">
              <a16:creationId xmlns:a16="http://schemas.microsoft.com/office/drawing/2014/main" id="{516E2724-EE06-4EB4-BAA6-29FDC44B8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190500</xdr:colOff>
      <xdr:row>2</xdr:row>
      <xdr:rowOff>63500</xdr:rowOff>
    </xdr:from>
    <xdr:to>
      <xdr:col>8</xdr:col>
      <xdr:colOff>495300</xdr:colOff>
      <xdr:row>16</xdr:row>
      <xdr:rowOff>114300</xdr:rowOff>
    </xdr:to>
    <xdr:graphicFrame macro="">
      <xdr:nvGraphicFramePr>
        <xdr:cNvPr id="8" name="Chart 7">
          <a:extLst>
            <a:ext uri="{FF2B5EF4-FFF2-40B4-BE49-F238E27FC236}">
              <a16:creationId xmlns:a16="http://schemas.microsoft.com/office/drawing/2014/main" id="{13875665-7361-4E7A-B3F8-03D3D39B0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54876</xdr:colOff>
      <xdr:row>2</xdr:row>
      <xdr:rowOff>148951</xdr:rowOff>
    </xdr:from>
    <xdr:to>
      <xdr:col>22</xdr:col>
      <xdr:colOff>64420</xdr:colOff>
      <xdr:row>19</xdr:row>
      <xdr:rowOff>174855</xdr:rowOff>
    </xdr:to>
    <xdr:sp macro="" textlink="">
      <xdr:nvSpPr>
        <xdr:cNvPr id="2" name="TextBox 1">
          <a:extLst>
            <a:ext uri="{FF2B5EF4-FFF2-40B4-BE49-F238E27FC236}">
              <a16:creationId xmlns:a16="http://schemas.microsoft.com/office/drawing/2014/main" id="{7DBF06AD-8211-412F-8374-EAA5742B65C7}"/>
            </a:ext>
          </a:extLst>
        </xdr:cNvPr>
        <xdr:cNvSpPr txBox="1"/>
      </xdr:nvSpPr>
      <xdr:spPr>
        <a:xfrm>
          <a:off x="10987919" y="526270"/>
          <a:ext cx="2439110" cy="31640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C00000"/>
              </a:solidFill>
            </a:rPr>
            <a:t>Trend analysis revealed that airline operating costs exhibited substantial variation over the 15-year period. </a:t>
          </a:r>
        </a:p>
        <a:p>
          <a:r>
            <a:rPr lang="en-GB" sz="1600">
              <a:solidFill>
                <a:srgbClr val="C00000"/>
              </a:solidFill>
            </a:rPr>
            <a:t>Independent variables including output, fuel price, and load factor also demonstrated meaningful temporal patterns.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609600</xdr:colOff>
      <xdr:row>2</xdr:row>
      <xdr:rowOff>0</xdr:rowOff>
    </xdr:from>
    <xdr:to>
      <xdr:col>7</xdr:col>
      <xdr:colOff>260350</xdr:colOff>
      <xdr:row>5</xdr:row>
      <xdr:rowOff>114300</xdr:rowOff>
    </xdr:to>
    <xdr:sp macro="" textlink="">
      <xdr:nvSpPr>
        <xdr:cNvPr id="2" name="TextBox 1">
          <a:extLst>
            <a:ext uri="{FF2B5EF4-FFF2-40B4-BE49-F238E27FC236}">
              <a16:creationId xmlns:a16="http://schemas.microsoft.com/office/drawing/2014/main" id="{4B8A8926-5166-4DE1-92BB-8F3A4C8002A4}"/>
            </a:ext>
          </a:extLst>
        </xdr:cNvPr>
        <xdr:cNvSpPr txBox="1"/>
      </xdr:nvSpPr>
      <xdr:spPr>
        <a:xfrm>
          <a:off x="3651250" y="368300"/>
          <a:ext cx="3079750" cy="736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This</a:t>
          </a:r>
          <a:r>
            <a:rPr lang="en-GB" sz="1100" b="1" baseline="0"/>
            <a:t> </a:t>
          </a:r>
          <a:r>
            <a:rPr lang="en-GB" sz="1100" b="1"/>
            <a:t>simple</a:t>
          </a:r>
          <a:r>
            <a:rPr lang="en-GB" sz="1100" b="1" baseline="0"/>
            <a:t> linear </a:t>
          </a:r>
          <a:r>
            <a:rPr lang="en-GB" sz="1100" b="1"/>
            <a:t>regression</a:t>
          </a:r>
          <a:r>
            <a:rPr lang="en-GB" sz="1100" b="1" baseline="0"/>
            <a:t> model explains approximately 86.2% of the variability in airline costs (Adjusted R Square =0.862).</a:t>
          </a:r>
          <a:endParaRPr lang="en-GB" sz="1100" b="1"/>
        </a:p>
      </xdr:txBody>
    </xdr:sp>
    <xdr:clientData/>
  </xdr:twoCellAnchor>
  <xdr:twoCellAnchor>
    <xdr:from>
      <xdr:col>8</xdr:col>
      <xdr:colOff>57150</xdr:colOff>
      <xdr:row>11</xdr:row>
      <xdr:rowOff>69850</xdr:rowOff>
    </xdr:from>
    <xdr:to>
      <xdr:col>13</xdr:col>
      <xdr:colOff>482600</xdr:colOff>
      <xdr:row>15</xdr:row>
      <xdr:rowOff>120650</xdr:rowOff>
    </xdr:to>
    <xdr:sp macro="" textlink="">
      <xdr:nvSpPr>
        <xdr:cNvPr id="3" name="TextBox 2">
          <a:extLst>
            <a:ext uri="{FF2B5EF4-FFF2-40B4-BE49-F238E27FC236}">
              <a16:creationId xmlns:a16="http://schemas.microsoft.com/office/drawing/2014/main" id="{94F26A03-F6B1-4DA2-8A19-3A2AB3C07DD1}"/>
            </a:ext>
          </a:extLst>
        </xdr:cNvPr>
        <xdr:cNvSpPr txBox="1"/>
      </xdr:nvSpPr>
      <xdr:spPr>
        <a:xfrm>
          <a:off x="7410450" y="2222500"/>
          <a:ext cx="4013200" cy="831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The</a:t>
          </a:r>
          <a:r>
            <a:rPr lang="en-GB" sz="1100" b="1" baseline="0"/>
            <a:t> regression model is statistically significant ( F=550.69,P&lt;0.001), indicating that Output is a significant predictor of airline costs.</a:t>
          </a:r>
          <a:endParaRPr lang="en-GB" sz="1100" b="1"/>
        </a:p>
      </xdr:txBody>
    </xdr:sp>
    <xdr:clientData/>
  </xdr:twoCellAnchor>
  <xdr:twoCellAnchor>
    <xdr:from>
      <xdr:col>11</xdr:col>
      <xdr:colOff>127000</xdr:colOff>
      <xdr:row>18</xdr:row>
      <xdr:rowOff>44450</xdr:rowOff>
    </xdr:from>
    <xdr:to>
      <xdr:col>15</xdr:col>
      <xdr:colOff>44450</xdr:colOff>
      <xdr:row>21</xdr:row>
      <xdr:rowOff>31750</xdr:rowOff>
    </xdr:to>
    <xdr:sp macro="" textlink="">
      <xdr:nvSpPr>
        <xdr:cNvPr id="4" name="TextBox 3">
          <a:extLst>
            <a:ext uri="{FF2B5EF4-FFF2-40B4-BE49-F238E27FC236}">
              <a16:creationId xmlns:a16="http://schemas.microsoft.com/office/drawing/2014/main" id="{BC2F5B41-483F-488F-B43C-9582199072CB}"/>
            </a:ext>
          </a:extLst>
        </xdr:cNvPr>
        <xdr:cNvSpPr txBox="1"/>
      </xdr:nvSpPr>
      <xdr:spPr>
        <a:xfrm>
          <a:off x="9848850" y="3568700"/>
          <a:ext cx="23558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C00000"/>
              </a:solidFill>
            </a:rPr>
            <a:t>The simple regression</a:t>
          </a:r>
          <a:r>
            <a:rPr lang="en-GB" sz="1200" b="1" baseline="0">
              <a:solidFill>
                <a:srgbClr val="C00000"/>
              </a:solidFill>
            </a:rPr>
            <a:t> model is: Cost= </a:t>
          </a:r>
          <a:r>
            <a:rPr lang="en-GB" sz="1200" b="1" i="0" u="none" strike="noStrike">
              <a:solidFill>
                <a:srgbClr val="C00000"/>
              </a:solidFill>
              <a:effectLst/>
              <a:latin typeface="+mn-lt"/>
              <a:ea typeface="+mn-ea"/>
              <a:cs typeface="+mn-cs"/>
            </a:rPr>
            <a:t>-3368 + 2,083,015</a:t>
          </a:r>
          <a:r>
            <a:rPr lang="en-GB" sz="1200" b="1" i="0" u="none" strike="noStrike" baseline="0">
              <a:solidFill>
                <a:srgbClr val="C00000"/>
              </a:solidFill>
              <a:effectLst/>
              <a:latin typeface="+mn-lt"/>
              <a:ea typeface="+mn-ea"/>
              <a:cs typeface="+mn-cs"/>
            </a:rPr>
            <a:t> (output</a:t>
          </a:r>
          <a:r>
            <a:rPr lang="en-GB" sz="1100" b="1" i="0" u="none" strike="noStrike" baseline="0">
              <a:solidFill>
                <a:srgbClr val="C00000"/>
              </a:solidFill>
              <a:effectLst/>
              <a:latin typeface="+mn-lt"/>
              <a:ea typeface="+mn-ea"/>
              <a:cs typeface="+mn-cs"/>
            </a:rPr>
            <a:t>)</a:t>
          </a:r>
          <a:endParaRPr lang="en-GB" sz="1100" b="1">
            <a:solidFill>
              <a:srgbClr val="C0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76200</xdr:colOff>
      <xdr:row>2</xdr:row>
      <xdr:rowOff>146050</xdr:rowOff>
    </xdr:from>
    <xdr:to>
      <xdr:col>9</xdr:col>
      <xdr:colOff>393700</xdr:colOff>
      <xdr:row>8</xdr:row>
      <xdr:rowOff>12700</xdr:rowOff>
    </xdr:to>
    <xdr:sp macro="" textlink="">
      <xdr:nvSpPr>
        <xdr:cNvPr id="2" name="TextBox 1">
          <a:extLst>
            <a:ext uri="{FF2B5EF4-FFF2-40B4-BE49-F238E27FC236}">
              <a16:creationId xmlns:a16="http://schemas.microsoft.com/office/drawing/2014/main" id="{30F852EA-EAAB-4B54-85E5-1036A4FFA0A5}"/>
            </a:ext>
          </a:extLst>
        </xdr:cNvPr>
        <xdr:cNvSpPr txBox="1"/>
      </xdr:nvSpPr>
      <xdr:spPr>
        <a:xfrm>
          <a:off x="3486150" y="552450"/>
          <a:ext cx="3365500" cy="1041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This</a:t>
          </a:r>
          <a:r>
            <a:rPr lang="en-GB" sz="1100" b="1" baseline="0">
              <a:solidFill>
                <a:schemeClr val="dk1"/>
              </a:solidFill>
              <a:effectLst/>
              <a:latin typeface="+mn-lt"/>
              <a:ea typeface="+mn-ea"/>
              <a:cs typeface="+mn-cs"/>
            </a:rPr>
            <a:t> Multiple Linear R</a:t>
          </a:r>
          <a:r>
            <a:rPr lang="en-GB" sz="1100" b="1">
              <a:solidFill>
                <a:schemeClr val="dk1"/>
              </a:solidFill>
              <a:effectLst/>
              <a:latin typeface="+mn-lt"/>
              <a:ea typeface="+mn-ea"/>
              <a:cs typeface="+mn-cs"/>
            </a:rPr>
            <a:t>egression</a:t>
          </a:r>
          <a:r>
            <a:rPr lang="en-GB" sz="1100" b="1" baseline="0">
              <a:solidFill>
                <a:schemeClr val="dk1"/>
              </a:solidFill>
              <a:effectLst/>
              <a:latin typeface="+mn-lt"/>
              <a:ea typeface="+mn-ea"/>
              <a:cs typeface="+mn-cs"/>
            </a:rPr>
            <a:t> Model explains approximately </a:t>
          </a:r>
          <a:r>
            <a:rPr lang="en-GB" sz="1100" b="1" baseline="0">
              <a:solidFill>
                <a:srgbClr val="C00000"/>
              </a:solidFill>
              <a:effectLst/>
              <a:latin typeface="+mn-lt"/>
              <a:ea typeface="+mn-ea"/>
              <a:cs typeface="+mn-cs"/>
            </a:rPr>
            <a:t>94.4%</a:t>
          </a:r>
          <a:r>
            <a:rPr lang="en-GB" sz="1100" b="1" baseline="0">
              <a:solidFill>
                <a:schemeClr val="dk1"/>
              </a:solidFill>
              <a:effectLst/>
              <a:latin typeface="+mn-lt"/>
              <a:ea typeface="+mn-ea"/>
              <a:cs typeface="+mn-cs"/>
            </a:rPr>
            <a:t> of the variability in airline costs (Adjusted R Square =0.944) which is significantly higher than the simple linear regression model which explained </a:t>
          </a:r>
          <a:r>
            <a:rPr lang="en-GB" sz="1100" b="1" baseline="0">
              <a:solidFill>
                <a:srgbClr val="C00000"/>
              </a:solidFill>
              <a:effectLst/>
              <a:latin typeface="+mn-lt"/>
              <a:ea typeface="+mn-ea"/>
              <a:cs typeface="+mn-cs"/>
            </a:rPr>
            <a:t>86.2%</a:t>
          </a:r>
          <a:r>
            <a:rPr lang="en-GB" sz="1100" b="1" baseline="0">
              <a:solidFill>
                <a:schemeClr val="dk1"/>
              </a:solidFill>
              <a:effectLst/>
              <a:latin typeface="+mn-lt"/>
              <a:ea typeface="+mn-ea"/>
              <a:cs typeface="+mn-cs"/>
            </a:rPr>
            <a:t> of the variability in airline costs.</a:t>
          </a:r>
          <a:endParaRPr lang="en-GB">
            <a:effectLst/>
          </a:endParaRPr>
        </a:p>
        <a:p>
          <a:endParaRPr lang="en-GB" sz="1100"/>
        </a:p>
      </xdr:txBody>
    </xdr:sp>
    <xdr:clientData/>
  </xdr:twoCellAnchor>
  <xdr:twoCellAnchor>
    <xdr:from>
      <xdr:col>7</xdr:col>
      <xdr:colOff>488950</xdr:colOff>
      <xdr:row>12</xdr:row>
      <xdr:rowOff>31750</xdr:rowOff>
    </xdr:from>
    <xdr:to>
      <xdr:col>12</xdr:col>
      <xdr:colOff>406400</xdr:colOff>
      <xdr:row>15</xdr:row>
      <xdr:rowOff>76200</xdr:rowOff>
    </xdr:to>
    <xdr:sp macro="" textlink="">
      <xdr:nvSpPr>
        <xdr:cNvPr id="3" name="TextBox 2">
          <a:extLst>
            <a:ext uri="{FF2B5EF4-FFF2-40B4-BE49-F238E27FC236}">
              <a16:creationId xmlns:a16="http://schemas.microsoft.com/office/drawing/2014/main" id="{CE9571DA-654F-45BD-8A27-5A7A70F08AF6}"/>
            </a:ext>
          </a:extLst>
        </xdr:cNvPr>
        <xdr:cNvSpPr txBox="1"/>
      </xdr:nvSpPr>
      <xdr:spPr>
        <a:xfrm>
          <a:off x="6762750" y="2355850"/>
          <a:ext cx="3556000" cy="5969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1"/>
            <a:t>Similar to</a:t>
          </a:r>
          <a:r>
            <a:rPr lang="en-GB" sz="1100" b="1" baseline="0"/>
            <a:t> the simple linear regression model where </a:t>
          </a:r>
          <a:r>
            <a:rPr lang="en-GB" sz="1100" b="1" baseline="0">
              <a:solidFill>
                <a:schemeClr val="dk1"/>
              </a:solidFill>
              <a:effectLst/>
              <a:latin typeface="+mn-lt"/>
              <a:ea typeface="+mn-ea"/>
              <a:cs typeface="+mn-cs"/>
            </a:rPr>
            <a:t>F=550.69, F=503.11 and p&lt;0.001</a:t>
          </a:r>
          <a:endParaRPr lang="en-GB" sz="1100" b="1"/>
        </a:p>
      </xdr:txBody>
    </xdr:sp>
    <xdr:clientData/>
  </xdr:twoCellAnchor>
  <xdr:twoCellAnchor>
    <xdr:from>
      <xdr:col>11</xdr:col>
      <xdr:colOff>76200</xdr:colOff>
      <xdr:row>17</xdr:row>
      <xdr:rowOff>50800</xdr:rowOff>
    </xdr:from>
    <xdr:to>
      <xdr:col>17</xdr:col>
      <xdr:colOff>431800</xdr:colOff>
      <xdr:row>23</xdr:row>
      <xdr:rowOff>158750</xdr:rowOff>
    </xdr:to>
    <xdr:sp macro="" textlink="">
      <xdr:nvSpPr>
        <xdr:cNvPr id="4" name="TextBox 3">
          <a:extLst>
            <a:ext uri="{FF2B5EF4-FFF2-40B4-BE49-F238E27FC236}">
              <a16:creationId xmlns:a16="http://schemas.microsoft.com/office/drawing/2014/main" id="{07C04313-99B9-4D4E-ACBA-5E70E1B09A10}"/>
            </a:ext>
          </a:extLst>
        </xdr:cNvPr>
        <xdr:cNvSpPr txBox="1"/>
      </xdr:nvSpPr>
      <xdr:spPr>
        <a:xfrm>
          <a:off x="9378950" y="3308350"/>
          <a:ext cx="4013200"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1">
              <a:solidFill>
                <a:srgbClr val="C00000"/>
              </a:solidFill>
            </a:rPr>
            <a:t>The Multiple</a:t>
          </a:r>
          <a:r>
            <a:rPr lang="en-GB" sz="1200" b="1" baseline="0">
              <a:solidFill>
                <a:srgbClr val="C00000"/>
              </a:solidFill>
            </a:rPr>
            <a:t> Linear Regression Model is Cost = </a:t>
          </a:r>
          <a:r>
            <a:rPr lang="en-GB" sz="1200" b="1" i="0" u="none" strike="noStrike">
              <a:solidFill>
                <a:srgbClr val="C00000"/>
              </a:solidFill>
              <a:effectLst/>
              <a:latin typeface="+mn-lt"/>
              <a:ea typeface="+mn-ea"/>
              <a:cs typeface="+mn-cs"/>
            </a:rPr>
            <a:t>1,158,559</a:t>
          </a:r>
          <a:r>
            <a:rPr lang="en-GB" sz="1200" b="1">
              <a:solidFill>
                <a:srgbClr val="C00000"/>
              </a:solidFill>
            </a:rPr>
            <a:t> +</a:t>
          </a:r>
          <a:r>
            <a:rPr lang="en-GB" sz="1200" b="1" baseline="0">
              <a:solidFill>
                <a:srgbClr val="C00000"/>
              </a:solidFill>
            </a:rPr>
            <a:t> </a:t>
          </a:r>
          <a:r>
            <a:rPr lang="en-GB" sz="1200" b="1" i="0" u="none" strike="noStrike">
              <a:solidFill>
                <a:srgbClr val="C00000"/>
              </a:solidFill>
              <a:effectLst/>
              <a:latin typeface="+mn-lt"/>
              <a:ea typeface="+mn-ea"/>
              <a:cs typeface="+mn-cs"/>
            </a:rPr>
            <a:t>2,026,114</a:t>
          </a:r>
          <a:r>
            <a:rPr lang="en-GB" sz="1200" b="1">
              <a:solidFill>
                <a:srgbClr val="C00000"/>
              </a:solidFill>
            </a:rPr>
            <a:t>(output) + </a:t>
          </a:r>
          <a:r>
            <a:rPr lang="en-GB" sz="1200" b="1" i="0" u="none" strike="noStrike">
              <a:solidFill>
                <a:srgbClr val="C00000"/>
              </a:solidFill>
              <a:effectLst/>
              <a:latin typeface="+mn-lt"/>
              <a:ea typeface="+mn-ea"/>
              <a:cs typeface="+mn-cs"/>
            </a:rPr>
            <a:t>1.225</a:t>
          </a:r>
          <a:r>
            <a:rPr lang="en-GB" sz="1200" b="1">
              <a:solidFill>
                <a:srgbClr val="C00000"/>
              </a:solidFill>
            </a:rPr>
            <a:t> (fuel price) + </a:t>
          </a:r>
          <a:r>
            <a:rPr lang="en-GB" sz="1200" b="1" i="0" u="none" strike="noStrike">
              <a:solidFill>
                <a:srgbClr val="C00000"/>
              </a:solidFill>
              <a:effectLst/>
              <a:latin typeface="+mn-lt"/>
              <a:ea typeface="+mn-ea"/>
              <a:cs typeface="+mn-cs"/>
            </a:rPr>
            <a:t>-3,065,753</a:t>
          </a:r>
          <a:r>
            <a:rPr lang="en-GB" sz="1200" b="1">
              <a:solidFill>
                <a:srgbClr val="C00000"/>
              </a:solidFill>
            </a:rPr>
            <a:t> (load factor). </a:t>
          </a:r>
          <a:r>
            <a:rPr lang="en-GB" sz="1200" b="1">
              <a:solidFill>
                <a:srgbClr val="002060"/>
              </a:solidFill>
            </a:rPr>
            <a:t>This</a:t>
          </a:r>
          <a:r>
            <a:rPr lang="en-GB" sz="1200" b="1" baseline="0">
              <a:solidFill>
                <a:srgbClr val="002060"/>
              </a:solidFill>
            </a:rPr>
            <a:t> model is recommended as it explains more variation, reduces prediction error and captures multiple operational drivers of airline cost</a:t>
          </a:r>
          <a:r>
            <a:rPr lang="en-GB" sz="1200" b="1" baseline="0">
              <a:solidFill>
                <a:srgbClr val="C00000"/>
              </a:solidFill>
            </a:rPr>
            <a:t>.</a:t>
          </a:r>
          <a:endParaRPr lang="en-GB" sz="1200" b="1">
            <a:solidFill>
              <a:srgbClr val="C0000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161.951602199071" createdVersion="6" refreshedVersion="6" minRefreshableVersion="3" recordCount="90" xr:uid="{93A7AB4F-B264-4C1B-A5A4-8D637D7D0875}">
  <cacheSource type="worksheet">
    <worksheetSource ref="A1:F91" sheet="Raw_Data"/>
  </cacheSource>
  <cacheFields count="6">
    <cacheField name="Airline" numFmtId="0">
      <sharedItems containsSemiMixedTypes="0" containsString="0" containsNumber="1" containsInteger="1" minValue="1" maxValue="6" count="6">
        <n v="1"/>
        <n v="2"/>
        <n v="3"/>
        <n v="4"/>
        <n v="5"/>
        <n v="6"/>
      </sharedItems>
    </cacheField>
    <cacheField name="Year" numFmtId="0">
      <sharedItems containsSemiMixedTypes="0" containsString="0" containsNumber="1" containsInteger="1" minValue="1" maxValue="15" count="15">
        <n v="1"/>
        <n v="2"/>
        <n v="3"/>
        <n v="4"/>
        <n v="5"/>
        <n v="6"/>
        <n v="7"/>
        <n v="8"/>
        <n v="9"/>
        <n v="10"/>
        <n v="11"/>
        <n v="12"/>
        <n v="13"/>
        <n v="14"/>
        <n v="15"/>
      </sharedItems>
    </cacheField>
    <cacheField name="Output" numFmtId="165">
      <sharedItems containsSemiMixedTypes="0" containsString="0" containsNumber="1" minValue="3.7682E-2" maxValue="1.9364600000000001" count="90">
        <n v="0.95275699999999997"/>
        <n v="0.986757"/>
        <n v="1.09198"/>
        <n v="1.17578"/>
        <n v="1.1601699999999999"/>
        <n v="1.1737599999999999"/>
        <n v="1.29051"/>
        <n v="1.3906700000000001"/>
        <n v="1.61273"/>
        <n v="1.82544"/>
        <n v="1.5460400000000001"/>
        <n v="1.5279"/>
        <n v="1.6601999999999999"/>
        <n v="1.8223100000000001"/>
        <n v="1.9364600000000001"/>
        <n v="0.52063499999999996"/>
        <n v="0.53462699999999996"/>
        <n v="0.655192"/>
        <n v="0.79157500000000003"/>
        <n v="0.84294500000000006"/>
        <n v="0.85289199999999998"/>
        <n v="0.92284299999999997"/>
        <n v="1"/>
        <n v="1.19845"/>
        <n v="1.34067"/>
        <n v="1.3262400000000001"/>
        <n v="1.2485200000000001"/>
        <n v="1.2543200000000001"/>
        <n v="1.3717699999999999"/>
        <n v="1.38974"/>
        <n v="0.26242399999999999"/>
        <n v="0.26643299999999998"/>
        <n v="0.30604300000000001"/>
        <n v="0.32558599999999999"/>
        <n v="0.34570600000000001"/>
        <n v="0.36751699999999998"/>
        <n v="0.409937"/>
        <n v="0.448023"/>
        <n v="0.53959500000000005"/>
        <n v="0.53938200000000003"/>
        <n v="0.46796700000000002"/>
        <n v="0.450544"/>
        <n v="0.46879300000000002"/>
        <n v="0.49439699999999998"/>
        <n v="0.49331700000000001"/>
        <n v="8.6392999999999998E-2"/>
        <n v="9.6740000000000007E-2"/>
        <n v="0.14149999999999999"/>
        <n v="0.169715"/>
        <n v="0.17380499999999999"/>
        <n v="0.164272"/>
        <n v="0.170906"/>
        <n v="0.17784"/>
        <n v="0.192248"/>
        <n v="0.24246899999999999"/>
        <n v="0.25650499999999998"/>
        <n v="0.24965699999999999"/>
        <n v="0.27392300000000003"/>
        <n v="0.37113099999999999"/>
        <n v="0.42141099999999998"/>
        <n v="5.1027999999999997E-2"/>
        <n v="5.2645999999999998E-2"/>
        <n v="5.6348000000000002E-2"/>
        <n v="6.6952999999999999E-2"/>
        <n v="7.0307999999999995E-2"/>
        <n v="7.3960999999999999E-2"/>
        <n v="8.4945999999999994E-2"/>
        <n v="9.5474000000000003E-2"/>
        <n v="0.119814"/>
        <n v="0.15004600000000001"/>
        <n v="0.144014"/>
        <n v="0.16930000000000001"/>
        <n v="0.172761"/>
        <n v="0.18667"/>
        <n v="0.213279"/>
        <n v="3.7682E-2"/>
        <n v="3.9784E-2"/>
        <n v="4.4331000000000002E-2"/>
        <n v="5.0244999999999998E-2"/>
        <n v="5.5045999999999998E-2"/>
        <n v="5.2462000000000002E-2"/>
        <n v="5.6977E-2"/>
        <n v="6.1490000000000003E-2"/>
        <n v="6.9027000000000005E-2"/>
        <n v="9.2748999999999998E-2"/>
        <n v="0.11264"/>
        <n v="0.15415400000000001"/>
        <n v="0.18646099999999999"/>
        <n v="0.24684700000000001"/>
        <n v="0.30401299999999998"/>
      </sharedItems>
    </cacheField>
    <cacheField name="Fuel Price" numFmtId="164">
      <sharedItems containsSemiMixedTypes="0" containsString="0" containsNumber="1" containsInteger="1" minValue="103795" maxValue="1015610"/>
    </cacheField>
    <cacheField name="Load Factor" numFmtId="10">
      <sharedItems containsSemiMixedTypes="0" containsString="0" containsNumber="1" minValue="0.43206600000000001" maxValue="0.67628699999999997" count="90">
        <n v="0.53448700000000005"/>
        <n v="0.53232800000000002"/>
        <n v="0.547736"/>
        <n v="0.54084600000000005"/>
        <n v="0.591167"/>
        <n v="0.57541699999999996"/>
        <n v="0.594495"/>
        <n v="0.59740899999999997"/>
        <n v="0.63852200000000003"/>
        <n v="0.67628699999999997"/>
        <n v="0.60573500000000002"/>
        <n v="0.61436000000000002"/>
        <n v="0.63336599999999998"/>
        <n v="0.65011699999999994"/>
        <n v="0.62560300000000002"/>
        <n v="0.49085099999999998"/>
        <n v="0.47344900000000001"/>
        <n v="0.50301300000000004"/>
        <n v="0.51250099999999998"/>
        <n v="0.56678200000000001"/>
        <n v="0.55813299999999999"/>
        <n v="0.55879900000000005"/>
        <n v="0.57206999999999997"/>
        <n v="0.62476299999999996"/>
        <n v="0.62870599999999999"/>
        <n v="0.58914999999999995"/>
        <n v="0.53261199999999997"/>
        <n v="0.52665200000000001"/>
        <n v="0.54016299999999995"/>
        <n v="0.528775"/>
        <n v="0.52433399999999997"/>
        <n v="0.53718500000000002"/>
        <n v="0.58211900000000005"/>
        <n v="0.57948900000000003"/>
        <n v="0.60659200000000002"/>
        <n v="0.60726999999999998"/>
        <n v="0.58242499999999997"/>
        <n v="0.57397200000000004"/>
        <n v="0.65425599999999995"/>
        <n v="0.63105500000000003"/>
        <n v="0.56923999999999997"/>
        <n v="0.58968200000000004"/>
        <n v="0.58795299999999995"/>
        <n v="0.565388"/>
        <n v="0.57707799999999998"/>
        <n v="0.43206600000000001"/>
        <n v="0.43966899999999998"/>
        <n v="0.48893199999999998"/>
        <n v="0.48418099999999997"/>
        <n v="0.52992499999999998"/>
        <n v="0.53272299999999995"/>
        <n v="0.54906699999999997"/>
        <n v="0.55713999999999997"/>
        <n v="0.61137699999999995"/>
        <n v="0.64531899999999998"/>
        <n v="0.611734"/>
        <n v="0.58088399999999996"/>
        <n v="0.57204699999999997"/>
        <n v="0.59457000000000004"/>
        <n v="0.58552499999999996"/>
        <n v="0.44287500000000002"/>
        <n v="0.46247300000000002"/>
        <n v="0.51911799999999997"/>
        <n v="0.529331"/>
        <n v="0.55779699999999999"/>
        <n v="0.55618100000000004"/>
        <n v="0.56932700000000003"/>
        <n v="0.58346500000000001"/>
        <n v="0.63181799999999999"/>
        <n v="0.60472300000000001"/>
        <n v="0.58792100000000003"/>
        <n v="0.61615900000000001"/>
        <n v="0.60586799999999996"/>
        <n v="0.59468799999999999"/>
        <n v="0.63554500000000003"/>
        <n v="0.44853900000000002"/>
        <n v="0.47588900000000001"/>
        <n v="0.50056199999999995"/>
        <n v="0.50034400000000001"/>
        <n v="0.52889699999999995"/>
        <n v="0.495361"/>
        <n v="0.51034199999999996"/>
        <n v="0.51829599999999998"/>
        <n v="0.54672299999999996"/>
        <n v="0.55427599999999999"/>
        <n v="0.51776599999999995"/>
        <n v="0.58004900000000004"/>
        <n v="0.55602399999999996"/>
        <n v="0.53779100000000002"/>
        <n v="0.52577499999999999"/>
      </sharedItems>
    </cacheField>
    <cacheField name="Cost (thousands)" numFmtId="164">
      <sharedItems containsSemiMixedTypes="0" containsString="0" containsNumber="1" containsInteger="1" minValue="68978" maxValue="4748320" count="90">
        <n v="1140640"/>
        <n v="1215690"/>
        <n v="1309570"/>
        <n v="1511530"/>
        <n v="1676730"/>
        <n v="1823740"/>
        <n v="2022890"/>
        <n v="2314760"/>
        <n v="2639160"/>
        <n v="3247620"/>
        <n v="3787750"/>
        <n v="3867750"/>
        <n v="3996020"/>
        <n v="4282880"/>
        <n v="4748320"/>
        <n v="569292"/>
        <n v="640614"/>
        <n v="777655"/>
        <n v="999294"/>
        <n v="1203970"/>
        <n v="1358100"/>
        <n v="1501350"/>
        <n v="1709270"/>
        <n v="2025400"/>
        <n v="2548370"/>
        <n v="3137740"/>
        <n v="3557700"/>
        <n v="3717740"/>
        <n v="3962370"/>
        <n v="4209390"/>
        <n v="286298"/>
        <n v="309290"/>
        <n v="342056"/>
        <n v="374595"/>
        <n v="450037"/>
        <n v="510412"/>
        <n v="575347"/>
        <n v="669331"/>
        <n v="783799"/>
        <n v="913883"/>
        <n v="1041520"/>
        <n v="1125800"/>
        <n v="1096070"/>
        <n v="1198930"/>
        <n v="1170470"/>
        <n v="145167"/>
        <n v="170192"/>
        <n v="247506"/>
        <n v="309391"/>
        <n v="354338"/>
        <n v="373941"/>
        <n v="420915"/>
        <n v="474017"/>
        <n v="532590"/>
        <n v="676771"/>
        <n v="880438"/>
        <n v="1052020"/>
        <n v="1193680"/>
        <n v="1303390"/>
        <n v="1436970"/>
        <n v="91361"/>
        <n v="95428"/>
        <n v="98187"/>
        <n v="115967"/>
        <n v="138382"/>
        <n v="156228"/>
        <n v="183169"/>
        <n v="210212"/>
        <n v="274024"/>
        <n v="356915"/>
        <n v="432344"/>
        <n v="524294"/>
        <n v="530924"/>
        <n v="581447"/>
        <n v="610257"/>
        <n v="68978"/>
        <n v="74904"/>
        <n v="83829"/>
        <n v="98148"/>
        <n v="118449"/>
        <n v="133161"/>
        <n v="145062"/>
        <n v="170711"/>
        <n v="199775"/>
        <n v="276797"/>
        <n v="381478"/>
        <n v="506969"/>
        <n v="633388"/>
        <n v="804388"/>
        <n v="10095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x v="0"/>
    <x v="0"/>
    <n v="106650"/>
    <x v="0"/>
    <x v="0"/>
  </r>
  <r>
    <x v="0"/>
    <x v="1"/>
    <x v="1"/>
    <n v="110307"/>
    <x v="1"/>
    <x v="1"/>
  </r>
  <r>
    <x v="0"/>
    <x v="2"/>
    <x v="2"/>
    <n v="110574"/>
    <x v="2"/>
    <x v="2"/>
  </r>
  <r>
    <x v="0"/>
    <x v="3"/>
    <x v="3"/>
    <n v="121974"/>
    <x v="3"/>
    <x v="3"/>
  </r>
  <r>
    <x v="0"/>
    <x v="4"/>
    <x v="4"/>
    <n v="196606"/>
    <x v="4"/>
    <x v="4"/>
  </r>
  <r>
    <x v="0"/>
    <x v="5"/>
    <x v="5"/>
    <n v="265609"/>
    <x v="5"/>
    <x v="5"/>
  </r>
  <r>
    <x v="0"/>
    <x v="6"/>
    <x v="6"/>
    <n v="263451"/>
    <x v="6"/>
    <x v="6"/>
  </r>
  <r>
    <x v="0"/>
    <x v="7"/>
    <x v="7"/>
    <n v="316411"/>
    <x v="7"/>
    <x v="7"/>
  </r>
  <r>
    <x v="0"/>
    <x v="8"/>
    <x v="8"/>
    <n v="384110"/>
    <x v="8"/>
    <x v="8"/>
  </r>
  <r>
    <x v="0"/>
    <x v="9"/>
    <x v="9"/>
    <n v="569251"/>
    <x v="9"/>
    <x v="9"/>
  </r>
  <r>
    <x v="0"/>
    <x v="10"/>
    <x v="10"/>
    <n v="871636"/>
    <x v="10"/>
    <x v="10"/>
  </r>
  <r>
    <x v="0"/>
    <x v="11"/>
    <x v="11"/>
    <n v="997239"/>
    <x v="11"/>
    <x v="11"/>
  </r>
  <r>
    <x v="0"/>
    <x v="12"/>
    <x v="12"/>
    <n v="938002"/>
    <x v="12"/>
    <x v="12"/>
  </r>
  <r>
    <x v="0"/>
    <x v="13"/>
    <x v="13"/>
    <n v="859572"/>
    <x v="13"/>
    <x v="13"/>
  </r>
  <r>
    <x v="0"/>
    <x v="14"/>
    <x v="14"/>
    <n v="823411"/>
    <x v="14"/>
    <x v="14"/>
  </r>
  <r>
    <x v="1"/>
    <x v="0"/>
    <x v="15"/>
    <n v="103795"/>
    <x v="15"/>
    <x v="15"/>
  </r>
  <r>
    <x v="1"/>
    <x v="1"/>
    <x v="16"/>
    <n v="111477"/>
    <x v="16"/>
    <x v="16"/>
  </r>
  <r>
    <x v="1"/>
    <x v="2"/>
    <x v="17"/>
    <n v="118664"/>
    <x v="17"/>
    <x v="17"/>
  </r>
  <r>
    <x v="1"/>
    <x v="3"/>
    <x v="18"/>
    <n v="114797"/>
    <x v="18"/>
    <x v="18"/>
  </r>
  <r>
    <x v="1"/>
    <x v="4"/>
    <x v="19"/>
    <n v="215322"/>
    <x v="19"/>
    <x v="19"/>
  </r>
  <r>
    <x v="1"/>
    <x v="5"/>
    <x v="20"/>
    <n v="281704"/>
    <x v="20"/>
    <x v="20"/>
  </r>
  <r>
    <x v="1"/>
    <x v="6"/>
    <x v="21"/>
    <n v="304818"/>
    <x v="21"/>
    <x v="21"/>
  </r>
  <r>
    <x v="1"/>
    <x v="7"/>
    <x v="22"/>
    <n v="348609"/>
    <x v="22"/>
    <x v="22"/>
  </r>
  <r>
    <x v="1"/>
    <x v="8"/>
    <x v="23"/>
    <n v="374579"/>
    <x v="23"/>
    <x v="23"/>
  </r>
  <r>
    <x v="1"/>
    <x v="9"/>
    <x v="24"/>
    <n v="544109"/>
    <x v="24"/>
    <x v="24"/>
  </r>
  <r>
    <x v="1"/>
    <x v="10"/>
    <x v="25"/>
    <n v="853356"/>
    <x v="25"/>
    <x v="25"/>
  </r>
  <r>
    <x v="1"/>
    <x v="11"/>
    <x v="26"/>
    <n v="1003200"/>
    <x v="26"/>
    <x v="26"/>
  </r>
  <r>
    <x v="1"/>
    <x v="12"/>
    <x v="27"/>
    <n v="941977"/>
    <x v="27"/>
    <x v="27"/>
  </r>
  <r>
    <x v="1"/>
    <x v="13"/>
    <x v="28"/>
    <n v="856533"/>
    <x v="28"/>
    <x v="28"/>
  </r>
  <r>
    <x v="1"/>
    <x v="14"/>
    <x v="29"/>
    <n v="821361"/>
    <x v="29"/>
    <x v="29"/>
  </r>
  <r>
    <x v="2"/>
    <x v="0"/>
    <x v="30"/>
    <n v="118788"/>
    <x v="30"/>
    <x v="30"/>
  </r>
  <r>
    <x v="2"/>
    <x v="1"/>
    <x v="31"/>
    <n v="123798"/>
    <x v="31"/>
    <x v="31"/>
  </r>
  <r>
    <x v="2"/>
    <x v="2"/>
    <x v="32"/>
    <n v="122882"/>
    <x v="32"/>
    <x v="32"/>
  </r>
  <r>
    <x v="2"/>
    <x v="3"/>
    <x v="33"/>
    <n v="131274"/>
    <x v="33"/>
    <x v="33"/>
  </r>
  <r>
    <x v="2"/>
    <x v="4"/>
    <x v="34"/>
    <n v="222037"/>
    <x v="34"/>
    <x v="34"/>
  </r>
  <r>
    <x v="2"/>
    <x v="5"/>
    <x v="35"/>
    <n v="278721"/>
    <x v="35"/>
    <x v="35"/>
  </r>
  <r>
    <x v="2"/>
    <x v="6"/>
    <x v="36"/>
    <n v="306564"/>
    <x v="36"/>
    <x v="36"/>
  </r>
  <r>
    <x v="2"/>
    <x v="7"/>
    <x v="37"/>
    <n v="356073"/>
    <x v="37"/>
    <x v="37"/>
  </r>
  <r>
    <x v="2"/>
    <x v="8"/>
    <x v="38"/>
    <n v="378311"/>
    <x v="38"/>
    <x v="38"/>
  </r>
  <r>
    <x v="2"/>
    <x v="9"/>
    <x v="39"/>
    <n v="555267"/>
    <x v="39"/>
    <x v="39"/>
  </r>
  <r>
    <x v="2"/>
    <x v="10"/>
    <x v="40"/>
    <n v="850322"/>
    <x v="40"/>
    <x v="40"/>
  </r>
  <r>
    <x v="2"/>
    <x v="11"/>
    <x v="41"/>
    <n v="1015610"/>
    <x v="41"/>
    <x v="41"/>
  </r>
  <r>
    <x v="2"/>
    <x v="12"/>
    <x v="42"/>
    <n v="954508"/>
    <x v="42"/>
    <x v="42"/>
  </r>
  <r>
    <x v="2"/>
    <x v="13"/>
    <x v="43"/>
    <n v="886999"/>
    <x v="43"/>
    <x v="43"/>
  </r>
  <r>
    <x v="2"/>
    <x v="14"/>
    <x v="44"/>
    <n v="844079"/>
    <x v="44"/>
    <x v="44"/>
  </r>
  <r>
    <x v="3"/>
    <x v="0"/>
    <x v="45"/>
    <n v="114987"/>
    <x v="45"/>
    <x v="45"/>
  </r>
  <r>
    <x v="3"/>
    <x v="1"/>
    <x v="46"/>
    <n v="120501"/>
    <x v="46"/>
    <x v="46"/>
  </r>
  <r>
    <x v="3"/>
    <x v="2"/>
    <x v="47"/>
    <n v="121908"/>
    <x v="47"/>
    <x v="47"/>
  </r>
  <r>
    <x v="3"/>
    <x v="3"/>
    <x v="48"/>
    <n v="127220"/>
    <x v="48"/>
    <x v="48"/>
  </r>
  <r>
    <x v="3"/>
    <x v="4"/>
    <x v="49"/>
    <n v="209405"/>
    <x v="49"/>
    <x v="49"/>
  </r>
  <r>
    <x v="3"/>
    <x v="5"/>
    <x v="50"/>
    <n v="263148"/>
    <x v="50"/>
    <x v="50"/>
  </r>
  <r>
    <x v="3"/>
    <x v="6"/>
    <x v="51"/>
    <n v="316724"/>
    <x v="51"/>
    <x v="51"/>
  </r>
  <r>
    <x v="3"/>
    <x v="7"/>
    <x v="52"/>
    <n v="363598"/>
    <x v="52"/>
    <x v="52"/>
  </r>
  <r>
    <x v="3"/>
    <x v="8"/>
    <x v="53"/>
    <n v="389436"/>
    <x v="53"/>
    <x v="53"/>
  </r>
  <r>
    <x v="3"/>
    <x v="9"/>
    <x v="54"/>
    <n v="547376"/>
    <x v="54"/>
    <x v="54"/>
  </r>
  <r>
    <x v="3"/>
    <x v="10"/>
    <x v="55"/>
    <n v="850418"/>
    <x v="55"/>
    <x v="55"/>
  </r>
  <r>
    <x v="3"/>
    <x v="11"/>
    <x v="56"/>
    <n v="1011170"/>
    <x v="56"/>
    <x v="56"/>
  </r>
  <r>
    <x v="3"/>
    <x v="12"/>
    <x v="57"/>
    <n v="951934"/>
    <x v="57"/>
    <x v="57"/>
  </r>
  <r>
    <x v="3"/>
    <x v="13"/>
    <x v="58"/>
    <n v="881323"/>
    <x v="58"/>
    <x v="58"/>
  </r>
  <r>
    <x v="3"/>
    <x v="14"/>
    <x v="59"/>
    <n v="831374"/>
    <x v="59"/>
    <x v="59"/>
  </r>
  <r>
    <x v="4"/>
    <x v="0"/>
    <x v="60"/>
    <n v="118222"/>
    <x v="60"/>
    <x v="60"/>
  </r>
  <r>
    <x v="4"/>
    <x v="1"/>
    <x v="61"/>
    <n v="116223"/>
    <x v="61"/>
    <x v="61"/>
  </r>
  <r>
    <x v="4"/>
    <x v="2"/>
    <x v="62"/>
    <n v="115853"/>
    <x v="62"/>
    <x v="62"/>
  </r>
  <r>
    <x v="4"/>
    <x v="3"/>
    <x v="63"/>
    <n v="129372"/>
    <x v="63"/>
    <x v="63"/>
  </r>
  <r>
    <x v="4"/>
    <x v="4"/>
    <x v="64"/>
    <n v="243266"/>
    <x v="64"/>
    <x v="64"/>
  </r>
  <r>
    <x v="4"/>
    <x v="5"/>
    <x v="65"/>
    <n v="277930"/>
    <x v="65"/>
    <x v="65"/>
  </r>
  <r>
    <x v="4"/>
    <x v="6"/>
    <x v="66"/>
    <n v="317273"/>
    <x v="66"/>
    <x v="66"/>
  </r>
  <r>
    <x v="4"/>
    <x v="7"/>
    <x v="67"/>
    <n v="358794"/>
    <x v="67"/>
    <x v="67"/>
  </r>
  <r>
    <x v="4"/>
    <x v="8"/>
    <x v="68"/>
    <n v="397667"/>
    <x v="68"/>
    <x v="68"/>
  </r>
  <r>
    <x v="4"/>
    <x v="9"/>
    <x v="69"/>
    <n v="566672"/>
    <x v="69"/>
    <x v="69"/>
  </r>
  <r>
    <x v="4"/>
    <x v="10"/>
    <x v="70"/>
    <n v="848393"/>
    <x v="70"/>
    <x v="70"/>
  </r>
  <r>
    <x v="4"/>
    <x v="11"/>
    <x v="71"/>
    <n v="1005740"/>
    <x v="71"/>
    <x v="71"/>
  </r>
  <r>
    <x v="4"/>
    <x v="12"/>
    <x v="72"/>
    <n v="958231"/>
    <x v="72"/>
    <x v="72"/>
  </r>
  <r>
    <x v="4"/>
    <x v="13"/>
    <x v="73"/>
    <n v="872924"/>
    <x v="73"/>
    <x v="73"/>
  </r>
  <r>
    <x v="4"/>
    <x v="14"/>
    <x v="74"/>
    <n v="844622"/>
    <x v="74"/>
    <x v="74"/>
  </r>
  <r>
    <x v="5"/>
    <x v="0"/>
    <x v="75"/>
    <n v="117112"/>
    <x v="75"/>
    <x v="75"/>
  </r>
  <r>
    <x v="5"/>
    <x v="1"/>
    <x v="76"/>
    <n v="119420"/>
    <x v="76"/>
    <x v="76"/>
  </r>
  <r>
    <x v="5"/>
    <x v="2"/>
    <x v="77"/>
    <n v="116087"/>
    <x v="77"/>
    <x v="77"/>
  </r>
  <r>
    <x v="5"/>
    <x v="3"/>
    <x v="78"/>
    <n v="122997"/>
    <x v="78"/>
    <x v="78"/>
  </r>
  <r>
    <x v="5"/>
    <x v="4"/>
    <x v="79"/>
    <n v="194309"/>
    <x v="79"/>
    <x v="79"/>
  </r>
  <r>
    <x v="5"/>
    <x v="5"/>
    <x v="80"/>
    <n v="307923"/>
    <x v="80"/>
    <x v="80"/>
  </r>
  <r>
    <x v="5"/>
    <x v="6"/>
    <x v="81"/>
    <n v="323595"/>
    <x v="81"/>
    <x v="81"/>
  </r>
  <r>
    <x v="5"/>
    <x v="7"/>
    <x v="82"/>
    <n v="363081"/>
    <x v="82"/>
    <x v="82"/>
  </r>
  <r>
    <x v="5"/>
    <x v="8"/>
    <x v="83"/>
    <n v="386422"/>
    <x v="83"/>
    <x v="83"/>
  </r>
  <r>
    <x v="5"/>
    <x v="9"/>
    <x v="84"/>
    <n v="564867"/>
    <x v="84"/>
    <x v="84"/>
  </r>
  <r>
    <x v="5"/>
    <x v="10"/>
    <x v="85"/>
    <n v="874818"/>
    <x v="85"/>
    <x v="85"/>
  </r>
  <r>
    <x v="5"/>
    <x v="11"/>
    <x v="86"/>
    <n v="1013170"/>
    <x v="86"/>
    <x v="86"/>
  </r>
  <r>
    <x v="5"/>
    <x v="12"/>
    <x v="87"/>
    <n v="930477"/>
    <x v="87"/>
    <x v="87"/>
  </r>
  <r>
    <x v="5"/>
    <x v="13"/>
    <x v="88"/>
    <n v="851676"/>
    <x v="88"/>
    <x v="88"/>
  </r>
  <r>
    <x v="5"/>
    <x v="14"/>
    <x v="89"/>
    <n v="819476"/>
    <x v="89"/>
    <x v="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2BED60-6599-45B5-BE3F-9A451899DDBA}" name="PivotTable9" cacheId="5"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 rowHeaderCaption="Year" colHeaderCaption="Airline">
  <location ref="AB3:AH20" firstHeaderRow="1" firstDataRow="2" firstDataCol="1"/>
  <pivotFields count="6">
    <pivotField axis="axisCol" showAll="0">
      <items count="7">
        <item x="0"/>
        <item x="1"/>
        <item x="2"/>
        <item x="3"/>
        <item x="4"/>
        <item x="5"/>
        <item t="default"/>
      </items>
    </pivotField>
    <pivotField axis="axisRow" showAll="0">
      <items count="16">
        <item x="0"/>
        <item x="1"/>
        <item x="2"/>
        <item x="3"/>
        <item x="4"/>
        <item x="5"/>
        <item x="6"/>
        <item x="7"/>
        <item x="8"/>
        <item x="9"/>
        <item x="10"/>
        <item x="11"/>
        <item x="12"/>
        <item x="13"/>
        <item x="14"/>
        <item t="default"/>
      </items>
    </pivotField>
    <pivotField numFmtId="165" showAll="0"/>
    <pivotField numFmtId="164" showAll="0"/>
    <pivotField numFmtId="10" showAll="0"/>
    <pivotField dataField="1" numFmtId="164"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6">
    <i>
      <x/>
    </i>
    <i>
      <x v="1"/>
    </i>
    <i>
      <x v="2"/>
    </i>
    <i>
      <x v="3"/>
    </i>
    <i>
      <x v="4"/>
    </i>
    <i>
      <x v="5"/>
    </i>
  </colItems>
  <dataFields count="1">
    <dataField name="Average of Cost (thousands)" fld="5" subtotal="average" baseField="1" baseItem="0"/>
  </dataFields>
  <chartFormats count="6">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2" format="15" series="1">
      <pivotArea type="data" outline="0" fieldPosition="0">
        <references count="2">
          <reference field="4294967294" count="1" selected="0">
            <x v="0"/>
          </reference>
          <reference field="0" count="1" selected="0">
            <x v="3"/>
          </reference>
        </references>
      </pivotArea>
    </chartFormat>
    <chartFormat chart="2" format="16" series="1">
      <pivotArea type="data" outline="0" fieldPosition="0">
        <references count="2">
          <reference field="4294967294" count="1" selected="0">
            <x v="0"/>
          </reference>
          <reference field="0" count="1" selected="0">
            <x v="4"/>
          </reference>
        </references>
      </pivotArea>
    </chartFormat>
    <chartFormat chart="2" format="17"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282C84-D842-4E56-8C0A-E24F64CC23A8}" name="PivotTable8" cacheId="5"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4" rowHeaderCaption="Year" colHeaderCaption="Airline">
  <location ref="T3:Z20" firstHeaderRow="1" firstDataRow="2" firstDataCol="1"/>
  <pivotFields count="6">
    <pivotField axis="axisCol" showAll="0">
      <items count="7">
        <item x="0"/>
        <item x="1"/>
        <item x="2"/>
        <item x="3"/>
        <item x="4"/>
        <item x="5"/>
        <item t="default"/>
      </items>
    </pivotField>
    <pivotField axis="axisRow" showAll="0">
      <items count="16">
        <item x="0"/>
        <item x="1"/>
        <item x="2"/>
        <item x="3"/>
        <item x="4"/>
        <item x="5"/>
        <item x="6"/>
        <item x="7"/>
        <item x="8"/>
        <item x="9"/>
        <item x="10"/>
        <item x="11"/>
        <item x="12"/>
        <item x="13"/>
        <item x="14"/>
        <item t="default"/>
      </items>
    </pivotField>
    <pivotField numFmtId="165" showAll="0"/>
    <pivotField dataField="1" numFmtId="164" showAll="0"/>
    <pivotField numFmtId="10" showAll="0"/>
    <pivotField numFmtId="164"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6">
    <i>
      <x/>
    </i>
    <i>
      <x v="1"/>
    </i>
    <i>
      <x v="2"/>
    </i>
    <i>
      <x v="3"/>
    </i>
    <i>
      <x v="4"/>
    </i>
    <i>
      <x v="5"/>
    </i>
  </colItems>
  <dataFields count="1">
    <dataField name="Average of Fuel Price" fld="3" subtotal="average" baseField="1" baseItem="0"/>
  </dataFields>
  <chartFormats count="6">
    <chartFormat chart="3" format="12" series="1">
      <pivotArea type="data" outline="0" fieldPosition="0">
        <references count="2">
          <reference field="4294967294" count="1" selected="0">
            <x v="0"/>
          </reference>
          <reference field="0" count="1" selected="0">
            <x v="0"/>
          </reference>
        </references>
      </pivotArea>
    </chartFormat>
    <chartFormat chart="3" format="13" series="1">
      <pivotArea type="data" outline="0" fieldPosition="0">
        <references count="2">
          <reference field="4294967294" count="1" selected="0">
            <x v="0"/>
          </reference>
          <reference field="0" count="1" selected="0">
            <x v="1"/>
          </reference>
        </references>
      </pivotArea>
    </chartFormat>
    <chartFormat chart="3" format="14" series="1">
      <pivotArea type="data" outline="0" fieldPosition="0">
        <references count="2">
          <reference field="4294967294" count="1" selected="0">
            <x v="0"/>
          </reference>
          <reference field="0" count="1" selected="0">
            <x v="2"/>
          </reference>
        </references>
      </pivotArea>
    </chartFormat>
    <chartFormat chart="3" format="15" series="1">
      <pivotArea type="data" outline="0" fieldPosition="0">
        <references count="2">
          <reference field="4294967294" count="1" selected="0">
            <x v="0"/>
          </reference>
          <reference field="0" count="1" selected="0">
            <x v="3"/>
          </reference>
        </references>
      </pivotArea>
    </chartFormat>
    <chartFormat chart="3" format="16" series="1">
      <pivotArea type="data" outline="0" fieldPosition="0">
        <references count="2">
          <reference field="4294967294" count="1" selected="0">
            <x v="0"/>
          </reference>
          <reference field="0" count="1" selected="0">
            <x v="4"/>
          </reference>
        </references>
      </pivotArea>
    </chartFormat>
    <chartFormat chart="3" format="17"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BAF5B19-B12D-4E96-AEA4-3DB655B5F934}" name="PivotTable6" cacheId="5"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 rowHeaderCaption="Year" colHeaderCaption="Airline">
  <location ref="K3:Q20" firstHeaderRow="1" firstDataRow="2" firstDataCol="1"/>
  <pivotFields count="6">
    <pivotField axis="axisCol" showAll="0">
      <items count="7">
        <item x="0"/>
        <item x="1"/>
        <item x="2"/>
        <item x="3"/>
        <item x="4"/>
        <item x="5"/>
        <item t="default"/>
      </items>
    </pivotField>
    <pivotField axis="axisRow" showAll="0">
      <items count="16">
        <item x="0"/>
        <item x="1"/>
        <item x="2"/>
        <item x="3"/>
        <item x="4"/>
        <item x="5"/>
        <item x="6"/>
        <item x="7"/>
        <item x="8"/>
        <item x="9"/>
        <item x="10"/>
        <item x="11"/>
        <item x="12"/>
        <item x="13"/>
        <item x="14"/>
        <item t="default"/>
      </items>
    </pivotField>
    <pivotField numFmtId="165" showAll="0"/>
    <pivotField numFmtId="164" showAll="0"/>
    <pivotField dataField="1" numFmtId="10" showAll="0">
      <items count="91">
        <item x="45"/>
        <item x="46"/>
        <item x="60"/>
        <item x="75"/>
        <item x="61"/>
        <item x="16"/>
        <item x="76"/>
        <item x="48"/>
        <item x="47"/>
        <item x="15"/>
        <item x="80"/>
        <item x="78"/>
        <item x="77"/>
        <item x="17"/>
        <item x="81"/>
        <item x="18"/>
        <item x="85"/>
        <item x="82"/>
        <item x="62"/>
        <item x="30"/>
        <item x="89"/>
        <item x="27"/>
        <item x="29"/>
        <item x="79"/>
        <item x="63"/>
        <item x="49"/>
        <item x="1"/>
        <item x="26"/>
        <item x="50"/>
        <item x="0"/>
        <item x="31"/>
        <item x="88"/>
        <item x="28"/>
        <item x="3"/>
        <item x="83"/>
        <item x="2"/>
        <item x="51"/>
        <item x="84"/>
        <item x="87"/>
        <item x="65"/>
        <item x="52"/>
        <item x="64"/>
        <item x="20"/>
        <item x="21"/>
        <item x="43"/>
        <item x="19"/>
        <item x="40"/>
        <item x="66"/>
        <item x="57"/>
        <item x="22"/>
        <item x="37"/>
        <item x="5"/>
        <item x="44"/>
        <item x="33"/>
        <item x="86"/>
        <item x="56"/>
        <item x="32"/>
        <item x="36"/>
        <item x="67"/>
        <item x="59"/>
        <item x="70"/>
        <item x="42"/>
        <item x="25"/>
        <item x="41"/>
        <item x="4"/>
        <item x="6"/>
        <item x="58"/>
        <item x="73"/>
        <item x="7"/>
        <item x="69"/>
        <item x="10"/>
        <item x="72"/>
        <item x="34"/>
        <item x="35"/>
        <item x="53"/>
        <item x="55"/>
        <item x="11"/>
        <item x="71"/>
        <item x="23"/>
        <item x="14"/>
        <item x="24"/>
        <item x="39"/>
        <item x="68"/>
        <item x="12"/>
        <item x="74"/>
        <item x="8"/>
        <item x="54"/>
        <item x="13"/>
        <item x="38"/>
        <item x="9"/>
        <item t="default"/>
      </items>
    </pivotField>
    <pivotField numFmtId="164"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6">
    <i>
      <x/>
    </i>
    <i>
      <x v="1"/>
    </i>
    <i>
      <x v="2"/>
    </i>
    <i>
      <x v="3"/>
    </i>
    <i>
      <x v="4"/>
    </i>
    <i>
      <x v="5"/>
    </i>
  </colItems>
  <dataFields count="1">
    <dataField name="Sum of Load Factor" fld="4" baseField="0" baseItem="0"/>
  </dataFields>
  <chartFormats count="6">
    <chartFormat chart="2" format="24" series="1">
      <pivotArea type="data" outline="0" fieldPosition="0">
        <references count="2">
          <reference field="4294967294" count="1" selected="0">
            <x v="0"/>
          </reference>
          <reference field="0" count="1" selected="0">
            <x v="0"/>
          </reference>
        </references>
      </pivotArea>
    </chartFormat>
    <chartFormat chart="2" format="25" series="1">
      <pivotArea type="data" outline="0" fieldPosition="0">
        <references count="2">
          <reference field="4294967294" count="1" selected="0">
            <x v="0"/>
          </reference>
          <reference field="0" count="1" selected="0">
            <x v="1"/>
          </reference>
        </references>
      </pivotArea>
    </chartFormat>
    <chartFormat chart="2" format="26" series="1">
      <pivotArea type="data" outline="0" fieldPosition="0">
        <references count="2">
          <reference field="4294967294" count="1" selected="0">
            <x v="0"/>
          </reference>
          <reference field="0" count="1" selected="0">
            <x v="2"/>
          </reference>
        </references>
      </pivotArea>
    </chartFormat>
    <chartFormat chart="2" format="27" series="1">
      <pivotArea type="data" outline="0" fieldPosition="0">
        <references count="2">
          <reference field="4294967294" count="1" selected="0">
            <x v="0"/>
          </reference>
          <reference field="0" count="1" selected="0">
            <x v="3"/>
          </reference>
        </references>
      </pivotArea>
    </chartFormat>
    <chartFormat chart="2" format="28" series="1">
      <pivotArea type="data" outline="0" fieldPosition="0">
        <references count="2">
          <reference field="4294967294" count="1" selected="0">
            <x v="0"/>
          </reference>
          <reference field="0" count="1" selected="0">
            <x v="4"/>
          </reference>
        </references>
      </pivotArea>
    </chartFormat>
    <chartFormat chart="2" format="29" series="1">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37BA5D-024C-47B4-8853-CD69F2FEE85A}" name="PivotTable5" cacheId="5"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4" rowHeaderCaption="Year" colHeaderCaption="Airline">
  <location ref="B3:H20" firstHeaderRow="1" firstDataRow="2" firstDataCol="1"/>
  <pivotFields count="6">
    <pivotField axis="axisCol" showAll="0">
      <items count="7">
        <item x="0"/>
        <item x="1"/>
        <item x="2"/>
        <item x="3"/>
        <item x="4"/>
        <item x="5"/>
        <item t="default"/>
      </items>
    </pivotField>
    <pivotField axis="axisRow" showAll="0">
      <items count="16">
        <item x="0"/>
        <item x="1"/>
        <item x="2"/>
        <item x="3"/>
        <item x="4"/>
        <item x="5"/>
        <item x="6"/>
        <item x="7"/>
        <item x="8"/>
        <item x="9"/>
        <item x="10"/>
        <item x="11"/>
        <item x="12"/>
        <item x="13"/>
        <item x="14"/>
        <item t="default"/>
      </items>
    </pivotField>
    <pivotField dataField="1" numFmtId="165" showAll="0"/>
    <pivotField numFmtId="164" showAll="0"/>
    <pivotField numFmtId="10" showAll="0"/>
    <pivotField numFmtId="164" showAll="0"/>
  </pivotFields>
  <rowFields count="1">
    <field x="1"/>
  </rowFields>
  <rowItems count="16">
    <i>
      <x/>
    </i>
    <i>
      <x v="1"/>
    </i>
    <i>
      <x v="2"/>
    </i>
    <i>
      <x v="3"/>
    </i>
    <i>
      <x v="4"/>
    </i>
    <i>
      <x v="5"/>
    </i>
    <i>
      <x v="6"/>
    </i>
    <i>
      <x v="7"/>
    </i>
    <i>
      <x v="8"/>
    </i>
    <i>
      <x v="9"/>
    </i>
    <i>
      <x v="10"/>
    </i>
    <i>
      <x v="11"/>
    </i>
    <i>
      <x v="12"/>
    </i>
    <i>
      <x v="13"/>
    </i>
    <i>
      <x v="14"/>
    </i>
    <i t="grand">
      <x/>
    </i>
  </rowItems>
  <colFields count="1">
    <field x="0"/>
  </colFields>
  <colItems count="6">
    <i>
      <x/>
    </i>
    <i>
      <x v="1"/>
    </i>
    <i>
      <x v="2"/>
    </i>
    <i>
      <x v="3"/>
    </i>
    <i>
      <x v="4"/>
    </i>
    <i>
      <x v="5"/>
    </i>
  </colItems>
  <dataFields count="1">
    <dataField name="Average of Output" fld="2" subtotal="average" baseField="1" baseItem="1"/>
  </dataFields>
  <chartFormats count="6">
    <chartFormat chart="2" format="19" series="1">
      <pivotArea type="data" outline="0" fieldPosition="0">
        <references count="1">
          <reference field="0" count="1" selected="0">
            <x v="0"/>
          </reference>
        </references>
      </pivotArea>
    </chartFormat>
    <chartFormat chart="2" format="20" series="1">
      <pivotArea type="data" outline="0" fieldPosition="0">
        <references count="1">
          <reference field="0" count="1" selected="0">
            <x v="1"/>
          </reference>
        </references>
      </pivotArea>
    </chartFormat>
    <chartFormat chart="2" format="21" series="1">
      <pivotArea type="data" outline="0" fieldPosition="0">
        <references count="1">
          <reference field="0" count="1" selected="0">
            <x v="2"/>
          </reference>
        </references>
      </pivotArea>
    </chartFormat>
    <chartFormat chart="2" format="22" series="1">
      <pivotArea type="data" outline="0" fieldPosition="0">
        <references count="1">
          <reference field="0" count="1" selected="0">
            <x v="3"/>
          </reference>
        </references>
      </pivotArea>
    </chartFormat>
    <chartFormat chart="2" format="23" series="1">
      <pivotArea type="data" outline="0" fieldPosition="0">
        <references count="1">
          <reference field="0" count="1" selected="0">
            <x v="4"/>
          </reference>
        </references>
      </pivotArea>
    </chartFormat>
    <chartFormat chart="2" format="24" series="1">
      <pivotArea type="data" outline="0" fieldPosition="0">
        <references count="1">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
  <sheetViews>
    <sheetView tabSelected="1" workbookViewId="0">
      <selection activeCell="I8" sqref="I8:O25"/>
    </sheetView>
  </sheetViews>
  <sheetFormatPr defaultRowHeight="14.5" x14ac:dyDescent="0.35"/>
  <cols>
    <col min="1" max="1" width="10.453125" customWidth="1"/>
    <col min="2" max="2" width="9.81640625" customWidth="1"/>
    <col min="3" max="3" width="9.6328125" customWidth="1"/>
    <col min="4" max="4" width="11.6328125" customWidth="1"/>
    <col min="5" max="5" width="13.90625" customWidth="1"/>
    <col min="6" max="6" width="17.7265625" customWidth="1"/>
    <col min="9" max="9" width="10.81640625" bestFit="1" customWidth="1"/>
    <col min="10" max="10" width="11.81640625" bestFit="1" customWidth="1"/>
    <col min="11" max="44" width="8.36328125" bestFit="1" customWidth="1"/>
    <col min="45" max="80" width="9.90625" bestFit="1" customWidth="1"/>
    <col min="81" max="81" width="10.7265625" bestFit="1" customWidth="1"/>
  </cols>
  <sheetData>
    <row r="1" spans="1:6" x14ac:dyDescent="0.35">
      <c r="A1" s="3" t="s">
        <v>0</v>
      </c>
      <c r="B1" s="3" t="s">
        <v>1</v>
      </c>
      <c r="C1" s="3" t="s">
        <v>2</v>
      </c>
      <c r="D1" s="3" t="s">
        <v>3</v>
      </c>
      <c r="E1" s="3" t="s">
        <v>4</v>
      </c>
      <c r="F1" s="3" t="s">
        <v>5</v>
      </c>
    </row>
    <row r="2" spans="1:6" x14ac:dyDescent="0.35">
      <c r="A2">
        <v>1</v>
      </c>
      <c r="B2">
        <v>1</v>
      </c>
      <c r="C2" s="2">
        <v>0.95275699999999997</v>
      </c>
      <c r="D2" s="1">
        <v>106650</v>
      </c>
      <c r="E2" s="4">
        <v>0.53448700000000005</v>
      </c>
      <c r="F2" s="1">
        <v>1140640</v>
      </c>
    </row>
    <row r="3" spans="1:6" x14ac:dyDescent="0.35">
      <c r="A3">
        <v>1</v>
      </c>
      <c r="B3">
        <v>2</v>
      </c>
      <c r="C3" s="2">
        <v>0.986757</v>
      </c>
      <c r="D3" s="1">
        <v>110307</v>
      </c>
      <c r="E3" s="4">
        <v>0.53232800000000002</v>
      </c>
      <c r="F3" s="1">
        <v>1215690</v>
      </c>
    </row>
    <row r="4" spans="1:6" x14ac:dyDescent="0.35">
      <c r="A4">
        <v>1</v>
      </c>
      <c r="B4">
        <v>3</v>
      </c>
      <c r="C4" s="2">
        <v>1.09198</v>
      </c>
      <c r="D4" s="1">
        <v>110574</v>
      </c>
      <c r="E4" s="4">
        <v>0.547736</v>
      </c>
      <c r="F4" s="1">
        <v>1309570</v>
      </c>
    </row>
    <row r="5" spans="1:6" x14ac:dyDescent="0.35">
      <c r="A5">
        <v>1</v>
      </c>
      <c r="B5">
        <v>4</v>
      </c>
      <c r="C5" s="2">
        <v>1.17578</v>
      </c>
      <c r="D5" s="1">
        <v>121974</v>
      </c>
      <c r="E5" s="4">
        <v>0.54084600000000005</v>
      </c>
      <c r="F5" s="1">
        <v>1511530</v>
      </c>
    </row>
    <row r="6" spans="1:6" x14ac:dyDescent="0.35">
      <c r="A6">
        <v>1</v>
      </c>
      <c r="B6">
        <v>5</v>
      </c>
      <c r="C6" s="2">
        <v>1.1601699999999999</v>
      </c>
      <c r="D6" s="1">
        <v>196606</v>
      </c>
      <c r="E6" s="4">
        <v>0.591167</v>
      </c>
      <c r="F6" s="1">
        <v>1676730</v>
      </c>
    </row>
    <row r="7" spans="1:6" x14ac:dyDescent="0.35">
      <c r="A7">
        <v>1</v>
      </c>
      <c r="B7">
        <v>6</v>
      </c>
      <c r="C7" s="2">
        <v>1.1737599999999999</v>
      </c>
      <c r="D7" s="1">
        <v>265609</v>
      </c>
      <c r="E7" s="4">
        <v>0.57541699999999996</v>
      </c>
      <c r="F7" s="1">
        <v>1823740</v>
      </c>
    </row>
    <row r="8" spans="1:6" x14ac:dyDescent="0.35">
      <c r="A8">
        <v>1</v>
      </c>
      <c r="B8">
        <v>7</v>
      </c>
      <c r="C8" s="2">
        <v>1.29051</v>
      </c>
      <c r="D8" s="1">
        <v>263451</v>
      </c>
      <c r="E8" s="4">
        <v>0.594495</v>
      </c>
      <c r="F8" s="1">
        <v>2022890</v>
      </c>
    </row>
    <row r="9" spans="1:6" x14ac:dyDescent="0.35">
      <c r="A9">
        <v>1</v>
      </c>
      <c r="B9">
        <v>8</v>
      </c>
      <c r="C9" s="2">
        <v>1.3906700000000001</v>
      </c>
      <c r="D9" s="1">
        <v>316411</v>
      </c>
      <c r="E9" s="4">
        <v>0.59740899999999997</v>
      </c>
      <c r="F9" s="1">
        <v>2314760</v>
      </c>
    </row>
    <row r="10" spans="1:6" x14ac:dyDescent="0.35">
      <c r="A10">
        <v>1</v>
      </c>
      <c r="B10">
        <v>9</v>
      </c>
      <c r="C10" s="2">
        <v>1.61273</v>
      </c>
      <c r="D10" s="1">
        <v>384110</v>
      </c>
      <c r="E10" s="4">
        <v>0.63852200000000003</v>
      </c>
      <c r="F10" s="1">
        <v>2639160</v>
      </c>
    </row>
    <row r="11" spans="1:6" x14ac:dyDescent="0.35">
      <c r="A11">
        <v>1</v>
      </c>
      <c r="B11">
        <v>10</v>
      </c>
      <c r="C11" s="2">
        <v>1.82544</v>
      </c>
      <c r="D11" s="1">
        <v>569251</v>
      </c>
      <c r="E11" s="4">
        <v>0.67628699999999997</v>
      </c>
      <c r="F11" s="1">
        <v>3247620</v>
      </c>
    </row>
    <row r="12" spans="1:6" x14ac:dyDescent="0.35">
      <c r="A12">
        <v>1</v>
      </c>
      <c r="B12">
        <v>11</v>
      </c>
      <c r="C12" s="2">
        <v>1.5460400000000001</v>
      </c>
      <c r="D12" s="1">
        <v>871636</v>
      </c>
      <c r="E12" s="4">
        <v>0.60573500000000002</v>
      </c>
      <c r="F12" s="1">
        <v>3787750</v>
      </c>
    </row>
    <row r="13" spans="1:6" x14ac:dyDescent="0.35">
      <c r="A13">
        <v>1</v>
      </c>
      <c r="B13">
        <v>12</v>
      </c>
      <c r="C13" s="2">
        <v>1.5279</v>
      </c>
      <c r="D13" s="1">
        <v>997239</v>
      </c>
      <c r="E13" s="4">
        <v>0.61436000000000002</v>
      </c>
      <c r="F13" s="1">
        <v>3867750</v>
      </c>
    </row>
    <row r="14" spans="1:6" x14ac:dyDescent="0.35">
      <c r="A14">
        <v>1</v>
      </c>
      <c r="B14">
        <v>13</v>
      </c>
      <c r="C14" s="2">
        <v>1.6601999999999999</v>
      </c>
      <c r="D14" s="1">
        <v>938002</v>
      </c>
      <c r="E14" s="4">
        <v>0.63336599999999998</v>
      </c>
      <c r="F14" s="1">
        <v>3996020</v>
      </c>
    </row>
    <row r="15" spans="1:6" x14ac:dyDescent="0.35">
      <c r="A15">
        <v>1</v>
      </c>
      <c r="B15">
        <v>14</v>
      </c>
      <c r="C15" s="2">
        <v>1.8223100000000001</v>
      </c>
      <c r="D15" s="1">
        <v>859572</v>
      </c>
      <c r="E15" s="4">
        <v>0.65011699999999994</v>
      </c>
      <c r="F15" s="1">
        <v>4282880</v>
      </c>
    </row>
    <row r="16" spans="1:6" x14ac:dyDescent="0.35">
      <c r="A16">
        <v>1</v>
      </c>
      <c r="B16">
        <v>15</v>
      </c>
      <c r="C16" s="2">
        <v>1.9364600000000001</v>
      </c>
      <c r="D16" s="1">
        <v>823411</v>
      </c>
      <c r="E16" s="4">
        <v>0.62560300000000002</v>
      </c>
      <c r="F16" s="1">
        <v>4748320</v>
      </c>
    </row>
    <row r="17" spans="1:6" x14ac:dyDescent="0.35">
      <c r="A17">
        <v>2</v>
      </c>
      <c r="B17">
        <v>1</v>
      </c>
      <c r="C17" s="2">
        <v>0.52063499999999996</v>
      </c>
      <c r="D17" s="1">
        <v>103795</v>
      </c>
      <c r="E17" s="4">
        <v>0.49085099999999998</v>
      </c>
      <c r="F17" s="1">
        <v>569292</v>
      </c>
    </row>
    <row r="18" spans="1:6" x14ac:dyDescent="0.35">
      <c r="A18">
        <v>2</v>
      </c>
      <c r="B18">
        <v>2</v>
      </c>
      <c r="C18" s="2">
        <v>0.53462699999999996</v>
      </c>
      <c r="D18" s="1">
        <v>111477</v>
      </c>
      <c r="E18" s="4">
        <v>0.47344900000000001</v>
      </c>
      <c r="F18" s="1">
        <v>640614</v>
      </c>
    </row>
    <row r="19" spans="1:6" x14ac:dyDescent="0.35">
      <c r="A19">
        <v>2</v>
      </c>
      <c r="B19">
        <v>3</v>
      </c>
      <c r="C19" s="2">
        <v>0.655192</v>
      </c>
      <c r="D19" s="1">
        <v>118664</v>
      </c>
      <c r="E19" s="4">
        <v>0.50301300000000004</v>
      </c>
      <c r="F19" s="1">
        <v>777655</v>
      </c>
    </row>
    <row r="20" spans="1:6" x14ac:dyDescent="0.35">
      <c r="A20">
        <v>2</v>
      </c>
      <c r="B20">
        <v>4</v>
      </c>
      <c r="C20" s="2">
        <v>0.79157500000000003</v>
      </c>
      <c r="D20" s="1">
        <v>114797</v>
      </c>
      <c r="E20" s="4">
        <v>0.51250099999999998</v>
      </c>
      <c r="F20" s="1">
        <v>999294</v>
      </c>
    </row>
    <row r="21" spans="1:6" x14ac:dyDescent="0.35">
      <c r="A21">
        <v>2</v>
      </c>
      <c r="B21">
        <v>5</v>
      </c>
      <c r="C21" s="2">
        <v>0.84294500000000006</v>
      </c>
      <c r="D21" s="1">
        <v>215322</v>
      </c>
      <c r="E21" s="4">
        <v>0.56678200000000001</v>
      </c>
      <c r="F21" s="1">
        <v>1203970</v>
      </c>
    </row>
    <row r="22" spans="1:6" x14ac:dyDescent="0.35">
      <c r="A22">
        <v>2</v>
      </c>
      <c r="B22">
        <v>6</v>
      </c>
      <c r="C22" s="2">
        <v>0.85289199999999998</v>
      </c>
      <c r="D22" s="1">
        <v>281704</v>
      </c>
      <c r="E22" s="4">
        <v>0.55813299999999999</v>
      </c>
      <c r="F22" s="1">
        <v>1358100</v>
      </c>
    </row>
    <row r="23" spans="1:6" x14ac:dyDescent="0.35">
      <c r="A23">
        <v>2</v>
      </c>
      <c r="B23">
        <v>7</v>
      </c>
      <c r="C23" s="2">
        <v>0.92284299999999997</v>
      </c>
      <c r="D23" s="1">
        <v>304818</v>
      </c>
      <c r="E23" s="4">
        <v>0.55879900000000005</v>
      </c>
      <c r="F23" s="1">
        <v>1501350</v>
      </c>
    </row>
    <row r="24" spans="1:6" x14ac:dyDescent="0.35">
      <c r="A24">
        <v>2</v>
      </c>
      <c r="B24">
        <v>8</v>
      </c>
      <c r="C24" s="2">
        <v>1</v>
      </c>
      <c r="D24" s="1">
        <v>348609</v>
      </c>
      <c r="E24" s="4">
        <v>0.57206999999999997</v>
      </c>
      <c r="F24" s="1">
        <v>1709270</v>
      </c>
    </row>
    <row r="25" spans="1:6" x14ac:dyDescent="0.35">
      <c r="A25">
        <v>2</v>
      </c>
      <c r="B25">
        <v>9</v>
      </c>
      <c r="C25" s="2">
        <v>1.19845</v>
      </c>
      <c r="D25" s="1">
        <v>374579</v>
      </c>
      <c r="E25" s="4">
        <v>0.62476299999999996</v>
      </c>
      <c r="F25" s="1">
        <v>2025400</v>
      </c>
    </row>
    <row r="26" spans="1:6" x14ac:dyDescent="0.35">
      <c r="A26">
        <v>2</v>
      </c>
      <c r="B26">
        <v>10</v>
      </c>
      <c r="C26" s="2">
        <v>1.34067</v>
      </c>
      <c r="D26" s="1">
        <v>544109</v>
      </c>
      <c r="E26" s="4">
        <v>0.62870599999999999</v>
      </c>
      <c r="F26" s="1">
        <v>2548370</v>
      </c>
    </row>
    <row r="27" spans="1:6" x14ac:dyDescent="0.35">
      <c r="A27">
        <v>2</v>
      </c>
      <c r="B27">
        <v>11</v>
      </c>
      <c r="C27" s="2">
        <v>1.3262400000000001</v>
      </c>
      <c r="D27" s="1">
        <v>853356</v>
      </c>
      <c r="E27" s="4">
        <v>0.58914999999999995</v>
      </c>
      <c r="F27" s="1">
        <v>3137740</v>
      </c>
    </row>
    <row r="28" spans="1:6" x14ac:dyDescent="0.35">
      <c r="A28">
        <v>2</v>
      </c>
      <c r="B28">
        <v>12</v>
      </c>
      <c r="C28" s="2">
        <v>1.2485200000000001</v>
      </c>
      <c r="D28" s="1">
        <v>1003200</v>
      </c>
      <c r="E28" s="4">
        <v>0.53261199999999997</v>
      </c>
      <c r="F28" s="1">
        <v>3557700</v>
      </c>
    </row>
    <row r="29" spans="1:6" x14ac:dyDescent="0.35">
      <c r="A29">
        <v>2</v>
      </c>
      <c r="B29">
        <v>13</v>
      </c>
      <c r="C29" s="2">
        <v>1.2543200000000001</v>
      </c>
      <c r="D29" s="1">
        <v>941977</v>
      </c>
      <c r="E29" s="4">
        <v>0.52665200000000001</v>
      </c>
      <c r="F29" s="1">
        <v>3717740</v>
      </c>
    </row>
    <row r="30" spans="1:6" x14ac:dyDescent="0.35">
      <c r="A30">
        <v>2</v>
      </c>
      <c r="B30">
        <v>14</v>
      </c>
      <c r="C30" s="2">
        <v>1.3717699999999999</v>
      </c>
      <c r="D30" s="1">
        <v>856533</v>
      </c>
      <c r="E30" s="4">
        <v>0.54016299999999995</v>
      </c>
      <c r="F30" s="1">
        <v>3962370</v>
      </c>
    </row>
    <row r="31" spans="1:6" x14ac:dyDescent="0.35">
      <c r="A31">
        <v>2</v>
      </c>
      <c r="B31">
        <v>15</v>
      </c>
      <c r="C31" s="2">
        <v>1.38974</v>
      </c>
      <c r="D31" s="1">
        <v>821361</v>
      </c>
      <c r="E31" s="4">
        <v>0.528775</v>
      </c>
      <c r="F31" s="1">
        <v>4209390</v>
      </c>
    </row>
    <row r="32" spans="1:6" x14ac:dyDescent="0.35">
      <c r="A32">
        <v>3</v>
      </c>
      <c r="B32">
        <v>1</v>
      </c>
      <c r="C32" s="2">
        <v>0.26242399999999999</v>
      </c>
      <c r="D32" s="1">
        <v>118788</v>
      </c>
      <c r="E32" s="4">
        <v>0.52433399999999997</v>
      </c>
      <c r="F32" s="1">
        <v>286298</v>
      </c>
    </row>
    <row r="33" spans="1:6" x14ac:dyDescent="0.35">
      <c r="A33">
        <v>3</v>
      </c>
      <c r="B33">
        <v>2</v>
      </c>
      <c r="C33" s="2">
        <v>0.26643299999999998</v>
      </c>
      <c r="D33" s="1">
        <v>123798</v>
      </c>
      <c r="E33" s="4">
        <v>0.53718500000000002</v>
      </c>
      <c r="F33" s="1">
        <v>309290</v>
      </c>
    </row>
    <row r="34" spans="1:6" x14ac:dyDescent="0.35">
      <c r="A34">
        <v>3</v>
      </c>
      <c r="B34">
        <v>3</v>
      </c>
      <c r="C34" s="2">
        <v>0.30604300000000001</v>
      </c>
      <c r="D34" s="1">
        <v>122882</v>
      </c>
      <c r="E34" s="4">
        <v>0.58211900000000005</v>
      </c>
      <c r="F34" s="1">
        <v>342056</v>
      </c>
    </row>
    <row r="35" spans="1:6" x14ac:dyDescent="0.35">
      <c r="A35">
        <v>3</v>
      </c>
      <c r="B35">
        <v>4</v>
      </c>
      <c r="C35" s="2">
        <v>0.32558599999999999</v>
      </c>
      <c r="D35" s="1">
        <v>131274</v>
      </c>
      <c r="E35" s="4">
        <v>0.57948900000000003</v>
      </c>
      <c r="F35" s="1">
        <v>374595</v>
      </c>
    </row>
    <row r="36" spans="1:6" x14ac:dyDescent="0.35">
      <c r="A36">
        <v>3</v>
      </c>
      <c r="B36">
        <v>5</v>
      </c>
      <c r="C36" s="2">
        <v>0.34570600000000001</v>
      </c>
      <c r="D36" s="1">
        <v>222037</v>
      </c>
      <c r="E36" s="4">
        <v>0.60659200000000002</v>
      </c>
      <c r="F36" s="1">
        <v>450037</v>
      </c>
    </row>
    <row r="37" spans="1:6" x14ac:dyDescent="0.35">
      <c r="A37">
        <v>3</v>
      </c>
      <c r="B37">
        <v>6</v>
      </c>
      <c r="C37" s="2">
        <v>0.36751699999999998</v>
      </c>
      <c r="D37" s="1">
        <v>278721</v>
      </c>
      <c r="E37" s="4">
        <v>0.60726999999999998</v>
      </c>
      <c r="F37" s="1">
        <v>510412</v>
      </c>
    </row>
    <row r="38" spans="1:6" x14ac:dyDescent="0.35">
      <c r="A38">
        <v>3</v>
      </c>
      <c r="B38">
        <v>7</v>
      </c>
      <c r="C38" s="2">
        <v>0.409937</v>
      </c>
      <c r="D38" s="1">
        <v>306564</v>
      </c>
      <c r="E38" s="4">
        <v>0.58242499999999997</v>
      </c>
      <c r="F38" s="1">
        <v>575347</v>
      </c>
    </row>
    <row r="39" spans="1:6" x14ac:dyDescent="0.35">
      <c r="A39">
        <v>3</v>
      </c>
      <c r="B39">
        <v>8</v>
      </c>
      <c r="C39" s="2">
        <v>0.448023</v>
      </c>
      <c r="D39" s="1">
        <v>356073</v>
      </c>
      <c r="E39" s="4">
        <v>0.57397200000000004</v>
      </c>
      <c r="F39" s="1">
        <v>669331</v>
      </c>
    </row>
    <row r="40" spans="1:6" x14ac:dyDescent="0.35">
      <c r="A40">
        <v>3</v>
      </c>
      <c r="B40">
        <v>9</v>
      </c>
      <c r="C40" s="2">
        <v>0.53959500000000005</v>
      </c>
      <c r="D40" s="1">
        <v>378311</v>
      </c>
      <c r="E40" s="4">
        <v>0.65425599999999995</v>
      </c>
      <c r="F40" s="1">
        <v>783799</v>
      </c>
    </row>
    <row r="41" spans="1:6" x14ac:dyDescent="0.35">
      <c r="A41">
        <v>3</v>
      </c>
      <c r="B41">
        <v>10</v>
      </c>
      <c r="C41" s="2">
        <v>0.53938200000000003</v>
      </c>
      <c r="D41" s="1">
        <v>555267</v>
      </c>
      <c r="E41" s="4">
        <v>0.63105500000000003</v>
      </c>
      <c r="F41" s="1">
        <v>913883</v>
      </c>
    </row>
    <row r="42" spans="1:6" x14ac:dyDescent="0.35">
      <c r="A42">
        <v>3</v>
      </c>
      <c r="B42">
        <v>11</v>
      </c>
      <c r="C42" s="2">
        <v>0.46796700000000002</v>
      </c>
      <c r="D42" s="1">
        <v>850322</v>
      </c>
      <c r="E42" s="4">
        <v>0.56923999999999997</v>
      </c>
      <c r="F42" s="1">
        <v>1041520</v>
      </c>
    </row>
    <row r="43" spans="1:6" x14ac:dyDescent="0.35">
      <c r="A43">
        <v>3</v>
      </c>
      <c r="B43">
        <v>12</v>
      </c>
      <c r="C43" s="2">
        <v>0.450544</v>
      </c>
      <c r="D43" s="1">
        <v>1015610</v>
      </c>
      <c r="E43" s="4">
        <v>0.58968200000000004</v>
      </c>
      <c r="F43" s="1">
        <v>1125800</v>
      </c>
    </row>
    <row r="44" spans="1:6" x14ac:dyDescent="0.35">
      <c r="A44">
        <v>3</v>
      </c>
      <c r="B44">
        <v>13</v>
      </c>
      <c r="C44" s="2">
        <v>0.46879300000000002</v>
      </c>
      <c r="D44" s="1">
        <v>954508</v>
      </c>
      <c r="E44" s="4">
        <v>0.58795299999999995</v>
      </c>
      <c r="F44" s="1">
        <v>1096070</v>
      </c>
    </row>
    <row r="45" spans="1:6" x14ac:dyDescent="0.35">
      <c r="A45">
        <v>3</v>
      </c>
      <c r="B45">
        <v>14</v>
      </c>
      <c r="C45" s="2">
        <v>0.49439699999999998</v>
      </c>
      <c r="D45" s="1">
        <v>886999</v>
      </c>
      <c r="E45" s="4">
        <v>0.565388</v>
      </c>
      <c r="F45" s="1">
        <v>1198930</v>
      </c>
    </row>
    <row r="46" spans="1:6" x14ac:dyDescent="0.35">
      <c r="A46">
        <v>3</v>
      </c>
      <c r="B46">
        <v>15</v>
      </c>
      <c r="C46" s="2">
        <v>0.49331700000000001</v>
      </c>
      <c r="D46" s="1">
        <v>844079</v>
      </c>
      <c r="E46" s="4">
        <v>0.57707799999999998</v>
      </c>
      <c r="F46" s="1">
        <v>1170470</v>
      </c>
    </row>
    <row r="47" spans="1:6" x14ac:dyDescent="0.35">
      <c r="A47">
        <v>4</v>
      </c>
      <c r="B47">
        <v>1</v>
      </c>
      <c r="C47" s="2">
        <v>8.6392999999999998E-2</v>
      </c>
      <c r="D47" s="1">
        <v>114987</v>
      </c>
      <c r="E47" s="4">
        <v>0.43206600000000001</v>
      </c>
      <c r="F47" s="1">
        <v>145167</v>
      </c>
    </row>
    <row r="48" spans="1:6" x14ac:dyDescent="0.35">
      <c r="A48">
        <v>4</v>
      </c>
      <c r="B48">
        <v>2</v>
      </c>
      <c r="C48" s="2">
        <v>9.6740000000000007E-2</v>
      </c>
      <c r="D48" s="1">
        <v>120501</v>
      </c>
      <c r="E48" s="4">
        <v>0.43966899999999998</v>
      </c>
      <c r="F48" s="1">
        <v>170192</v>
      </c>
    </row>
    <row r="49" spans="1:6" x14ac:dyDescent="0.35">
      <c r="A49">
        <v>4</v>
      </c>
      <c r="B49">
        <v>3</v>
      </c>
      <c r="C49" s="2">
        <v>0.14149999999999999</v>
      </c>
      <c r="D49" s="1">
        <v>121908</v>
      </c>
      <c r="E49" s="4">
        <v>0.48893199999999998</v>
      </c>
      <c r="F49" s="1">
        <v>247506</v>
      </c>
    </row>
    <row r="50" spans="1:6" x14ac:dyDescent="0.35">
      <c r="A50">
        <v>4</v>
      </c>
      <c r="B50">
        <v>4</v>
      </c>
      <c r="C50" s="2">
        <v>0.169715</v>
      </c>
      <c r="D50" s="1">
        <v>127220</v>
      </c>
      <c r="E50" s="4">
        <v>0.48418099999999997</v>
      </c>
      <c r="F50" s="1">
        <v>309391</v>
      </c>
    </row>
    <row r="51" spans="1:6" x14ac:dyDescent="0.35">
      <c r="A51">
        <v>4</v>
      </c>
      <c r="B51">
        <v>5</v>
      </c>
      <c r="C51" s="2">
        <v>0.17380499999999999</v>
      </c>
      <c r="D51" s="1">
        <v>209405</v>
      </c>
      <c r="E51" s="4">
        <v>0.52992499999999998</v>
      </c>
      <c r="F51" s="1">
        <v>354338</v>
      </c>
    </row>
    <row r="52" spans="1:6" x14ac:dyDescent="0.35">
      <c r="A52">
        <v>4</v>
      </c>
      <c r="B52">
        <v>6</v>
      </c>
      <c r="C52" s="2">
        <v>0.164272</v>
      </c>
      <c r="D52" s="1">
        <v>263148</v>
      </c>
      <c r="E52" s="4">
        <v>0.53272299999999995</v>
      </c>
      <c r="F52" s="1">
        <v>373941</v>
      </c>
    </row>
    <row r="53" spans="1:6" x14ac:dyDescent="0.35">
      <c r="A53">
        <v>4</v>
      </c>
      <c r="B53">
        <v>7</v>
      </c>
      <c r="C53" s="2">
        <v>0.170906</v>
      </c>
      <c r="D53" s="1">
        <v>316724</v>
      </c>
      <c r="E53" s="4">
        <v>0.54906699999999997</v>
      </c>
      <c r="F53" s="1">
        <v>420915</v>
      </c>
    </row>
    <row r="54" spans="1:6" x14ac:dyDescent="0.35">
      <c r="A54">
        <v>4</v>
      </c>
      <c r="B54">
        <v>8</v>
      </c>
      <c r="C54" s="2">
        <v>0.17784</v>
      </c>
      <c r="D54" s="1">
        <v>363598</v>
      </c>
      <c r="E54" s="4">
        <v>0.55713999999999997</v>
      </c>
      <c r="F54" s="1">
        <v>474017</v>
      </c>
    </row>
    <row r="55" spans="1:6" x14ac:dyDescent="0.35">
      <c r="A55">
        <v>4</v>
      </c>
      <c r="B55">
        <v>9</v>
      </c>
      <c r="C55" s="2">
        <v>0.192248</v>
      </c>
      <c r="D55" s="1">
        <v>389436</v>
      </c>
      <c r="E55" s="4">
        <v>0.61137699999999995</v>
      </c>
      <c r="F55" s="1">
        <v>532590</v>
      </c>
    </row>
    <row r="56" spans="1:6" x14ac:dyDescent="0.35">
      <c r="A56">
        <v>4</v>
      </c>
      <c r="B56">
        <v>10</v>
      </c>
      <c r="C56" s="2">
        <v>0.24246899999999999</v>
      </c>
      <c r="D56" s="1">
        <v>547376</v>
      </c>
      <c r="E56" s="4">
        <v>0.64531899999999998</v>
      </c>
      <c r="F56" s="1">
        <v>676771</v>
      </c>
    </row>
    <row r="57" spans="1:6" x14ac:dyDescent="0.35">
      <c r="A57">
        <v>4</v>
      </c>
      <c r="B57">
        <v>11</v>
      </c>
      <c r="C57" s="2">
        <v>0.25650499999999998</v>
      </c>
      <c r="D57" s="1">
        <v>850418</v>
      </c>
      <c r="E57" s="4">
        <v>0.611734</v>
      </c>
      <c r="F57" s="1">
        <v>880438</v>
      </c>
    </row>
    <row r="58" spans="1:6" x14ac:dyDescent="0.35">
      <c r="A58">
        <v>4</v>
      </c>
      <c r="B58">
        <v>12</v>
      </c>
      <c r="C58" s="2">
        <v>0.24965699999999999</v>
      </c>
      <c r="D58" s="1">
        <v>1011170</v>
      </c>
      <c r="E58" s="4">
        <v>0.58088399999999996</v>
      </c>
      <c r="F58" s="1">
        <v>1052020</v>
      </c>
    </row>
    <row r="59" spans="1:6" x14ac:dyDescent="0.35">
      <c r="A59">
        <v>4</v>
      </c>
      <c r="B59">
        <v>13</v>
      </c>
      <c r="C59" s="2">
        <v>0.27392300000000003</v>
      </c>
      <c r="D59" s="1">
        <v>951934</v>
      </c>
      <c r="E59" s="4">
        <v>0.57204699999999997</v>
      </c>
      <c r="F59" s="1">
        <v>1193680</v>
      </c>
    </row>
    <row r="60" spans="1:6" x14ac:dyDescent="0.35">
      <c r="A60">
        <v>4</v>
      </c>
      <c r="B60">
        <v>14</v>
      </c>
      <c r="C60" s="2">
        <v>0.37113099999999999</v>
      </c>
      <c r="D60" s="1">
        <v>881323</v>
      </c>
      <c r="E60" s="4">
        <v>0.59457000000000004</v>
      </c>
      <c r="F60" s="1">
        <v>1303390</v>
      </c>
    </row>
    <row r="61" spans="1:6" x14ac:dyDescent="0.35">
      <c r="A61">
        <v>4</v>
      </c>
      <c r="B61">
        <v>15</v>
      </c>
      <c r="C61" s="2">
        <v>0.42141099999999998</v>
      </c>
      <c r="D61" s="1">
        <v>831374</v>
      </c>
      <c r="E61" s="4">
        <v>0.58552499999999996</v>
      </c>
      <c r="F61" s="1">
        <v>1436970</v>
      </c>
    </row>
    <row r="62" spans="1:6" x14ac:dyDescent="0.35">
      <c r="A62">
        <v>5</v>
      </c>
      <c r="B62">
        <v>1</v>
      </c>
      <c r="C62" s="2">
        <v>5.1027999999999997E-2</v>
      </c>
      <c r="D62" s="1">
        <v>118222</v>
      </c>
      <c r="E62" s="4">
        <v>0.44287500000000002</v>
      </c>
      <c r="F62" s="1">
        <v>91361</v>
      </c>
    </row>
    <row r="63" spans="1:6" x14ac:dyDescent="0.35">
      <c r="A63">
        <v>5</v>
      </c>
      <c r="B63">
        <v>2</v>
      </c>
      <c r="C63" s="2">
        <v>5.2645999999999998E-2</v>
      </c>
      <c r="D63" s="1">
        <v>116223</v>
      </c>
      <c r="E63" s="4">
        <v>0.46247300000000002</v>
      </c>
      <c r="F63" s="1">
        <v>95428</v>
      </c>
    </row>
    <row r="64" spans="1:6" x14ac:dyDescent="0.35">
      <c r="A64">
        <v>5</v>
      </c>
      <c r="B64">
        <v>3</v>
      </c>
      <c r="C64" s="2">
        <v>5.6348000000000002E-2</v>
      </c>
      <c r="D64" s="1">
        <v>115853</v>
      </c>
      <c r="E64" s="4">
        <v>0.51911799999999997</v>
      </c>
      <c r="F64" s="1">
        <v>98187</v>
      </c>
    </row>
    <row r="65" spans="1:6" x14ac:dyDescent="0.35">
      <c r="A65">
        <v>5</v>
      </c>
      <c r="B65">
        <v>4</v>
      </c>
      <c r="C65" s="2">
        <v>6.6952999999999999E-2</v>
      </c>
      <c r="D65" s="1">
        <v>129372</v>
      </c>
      <c r="E65" s="4">
        <v>0.529331</v>
      </c>
      <c r="F65" s="1">
        <v>115967</v>
      </c>
    </row>
    <row r="66" spans="1:6" x14ac:dyDescent="0.35">
      <c r="A66">
        <v>5</v>
      </c>
      <c r="B66">
        <v>5</v>
      </c>
      <c r="C66" s="2">
        <v>7.0307999999999995E-2</v>
      </c>
      <c r="D66" s="1">
        <v>243266</v>
      </c>
      <c r="E66" s="4">
        <v>0.55779699999999999</v>
      </c>
      <c r="F66" s="1">
        <v>138382</v>
      </c>
    </row>
    <row r="67" spans="1:6" x14ac:dyDescent="0.35">
      <c r="A67">
        <v>5</v>
      </c>
      <c r="B67">
        <v>6</v>
      </c>
      <c r="C67" s="2">
        <v>7.3960999999999999E-2</v>
      </c>
      <c r="D67" s="1">
        <v>277930</v>
      </c>
      <c r="E67" s="4">
        <v>0.55618100000000004</v>
      </c>
      <c r="F67" s="1">
        <v>156228</v>
      </c>
    </row>
    <row r="68" spans="1:6" x14ac:dyDescent="0.35">
      <c r="A68">
        <v>5</v>
      </c>
      <c r="B68">
        <v>7</v>
      </c>
      <c r="C68" s="2">
        <v>8.4945999999999994E-2</v>
      </c>
      <c r="D68" s="1">
        <v>317273</v>
      </c>
      <c r="E68" s="4">
        <v>0.56932700000000003</v>
      </c>
      <c r="F68" s="1">
        <v>183169</v>
      </c>
    </row>
    <row r="69" spans="1:6" x14ac:dyDescent="0.35">
      <c r="A69">
        <v>5</v>
      </c>
      <c r="B69">
        <v>8</v>
      </c>
      <c r="C69" s="2">
        <v>9.5474000000000003E-2</v>
      </c>
      <c r="D69" s="1">
        <v>358794</v>
      </c>
      <c r="E69" s="4">
        <v>0.58346500000000001</v>
      </c>
      <c r="F69" s="1">
        <v>210212</v>
      </c>
    </row>
    <row r="70" spans="1:6" x14ac:dyDescent="0.35">
      <c r="A70">
        <v>5</v>
      </c>
      <c r="B70">
        <v>9</v>
      </c>
      <c r="C70" s="2">
        <v>0.119814</v>
      </c>
      <c r="D70" s="1">
        <v>397667</v>
      </c>
      <c r="E70" s="4">
        <v>0.63181799999999999</v>
      </c>
      <c r="F70" s="1">
        <v>274024</v>
      </c>
    </row>
    <row r="71" spans="1:6" x14ac:dyDescent="0.35">
      <c r="A71">
        <v>5</v>
      </c>
      <c r="B71">
        <v>10</v>
      </c>
      <c r="C71" s="2">
        <v>0.15004600000000001</v>
      </c>
      <c r="D71" s="1">
        <v>566672</v>
      </c>
      <c r="E71" s="4">
        <v>0.60472300000000001</v>
      </c>
      <c r="F71" s="1">
        <v>356915</v>
      </c>
    </row>
    <row r="72" spans="1:6" x14ac:dyDescent="0.35">
      <c r="A72">
        <v>5</v>
      </c>
      <c r="B72">
        <v>11</v>
      </c>
      <c r="C72" s="2">
        <v>0.144014</v>
      </c>
      <c r="D72" s="1">
        <v>848393</v>
      </c>
      <c r="E72" s="4">
        <v>0.58792100000000003</v>
      </c>
      <c r="F72" s="1">
        <v>432344</v>
      </c>
    </row>
    <row r="73" spans="1:6" x14ac:dyDescent="0.35">
      <c r="A73">
        <v>5</v>
      </c>
      <c r="B73">
        <v>12</v>
      </c>
      <c r="C73" s="2">
        <v>0.16930000000000001</v>
      </c>
      <c r="D73" s="1">
        <v>1005740</v>
      </c>
      <c r="E73" s="4">
        <v>0.61615900000000001</v>
      </c>
      <c r="F73" s="1">
        <v>524294</v>
      </c>
    </row>
    <row r="74" spans="1:6" x14ac:dyDescent="0.35">
      <c r="A74">
        <v>5</v>
      </c>
      <c r="B74">
        <v>13</v>
      </c>
      <c r="C74" s="2">
        <v>0.172761</v>
      </c>
      <c r="D74" s="1">
        <v>958231</v>
      </c>
      <c r="E74" s="4">
        <v>0.60586799999999996</v>
      </c>
      <c r="F74" s="1">
        <v>530924</v>
      </c>
    </row>
    <row r="75" spans="1:6" x14ac:dyDescent="0.35">
      <c r="A75">
        <v>5</v>
      </c>
      <c r="B75">
        <v>14</v>
      </c>
      <c r="C75" s="2">
        <v>0.18667</v>
      </c>
      <c r="D75" s="1">
        <v>872924</v>
      </c>
      <c r="E75" s="4">
        <v>0.59468799999999999</v>
      </c>
      <c r="F75" s="1">
        <v>581447</v>
      </c>
    </row>
    <row r="76" spans="1:6" x14ac:dyDescent="0.35">
      <c r="A76">
        <v>5</v>
      </c>
      <c r="B76">
        <v>15</v>
      </c>
      <c r="C76" s="2">
        <v>0.213279</v>
      </c>
      <c r="D76" s="1">
        <v>844622</v>
      </c>
      <c r="E76" s="4">
        <v>0.63554500000000003</v>
      </c>
      <c r="F76" s="1">
        <v>610257</v>
      </c>
    </row>
    <row r="77" spans="1:6" x14ac:dyDescent="0.35">
      <c r="A77">
        <v>6</v>
      </c>
      <c r="B77">
        <v>1</v>
      </c>
      <c r="C77" s="2">
        <v>3.7682E-2</v>
      </c>
      <c r="D77" s="1">
        <v>117112</v>
      </c>
      <c r="E77" s="4">
        <v>0.44853900000000002</v>
      </c>
      <c r="F77" s="1">
        <v>68978</v>
      </c>
    </row>
    <row r="78" spans="1:6" x14ac:dyDescent="0.35">
      <c r="A78">
        <v>6</v>
      </c>
      <c r="B78">
        <v>2</v>
      </c>
      <c r="C78" s="2">
        <v>3.9784E-2</v>
      </c>
      <c r="D78" s="1">
        <v>119420</v>
      </c>
      <c r="E78" s="4">
        <v>0.47588900000000001</v>
      </c>
      <c r="F78" s="1">
        <v>74904</v>
      </c>
    </row>
    <row r="79" spans="1:6" x14ac:dyDescent="0.35">
      <c r="A79">
        <v>6</v>
      </c>
      <c r="B79">
        <v>3</v>
      </c>
      <c r="C79" s="2">
        <v>4.4331000000000002E-2</v>
      </c>
      <c r="D79" s="1">
        <v>116087</v>
      </c>
      <c r="E79" s="4">
        <v>0.50056199999999995</v>
      </c>
      <c r="F79" s="1">
        <v>83829</v>
      </c>
    </row>
    <row r="80" spans="1:6" x14ac:dyDescent="0.35">
      <c r="A80">
        <v>6</v>
      </c>
      <c r="B80">
        <v>4</v>
      </c>
      <c r="C80" s="2">
        <v>5.0244999999999998E-2</v>
      </c>
      <c r="D80" s="1">
        <v>122997</v>
      </c>
      <c r="E80" s="4">
        <v>0.50034400000000001</v>
      </c>
      <c r="F80" s="1">
        <v>98148</v>
      </c>
    </row>
    <row r="81" spans="1:6" x14ac:dyDescent="0.35">
      <c r="A81">
        <v>6</v>
      </c>
      <c r="B81">
        <v>5</v>
      </c>
      <c r="C81" s="2">
        <v>5.5045999999999998E-2</v>
      </c>
      <c r="D81" s="1">
        <v>194309</v>
      </c>
      <c r="E81" s="4">
        <v>0.52889699999999995</v>
      </c>
      <c r="F81" s="1">
        <v>118449</v>
      </c>
    </row>
    <row r="82" spans="1:6" x14ac:dyDescent="0.35">
      <c r="A82">
        <v>6</v>
      </c>
      <c r="B82">
        <v>6</v>
      </c>
      <c r="C82" s="2">
        <v>5.2462000000000002E-2</v>
      </c>
      <c r="D82" s="1">
        <v>307923</v>
      </c>
      <c r="E82" s="4">
        <v>0.495361</v>
      </c>
      <c r="F82" s="1">
        <v>133161</v>
      </c>
    </row>
    <row r="83" spans="1:6" x14ac:dyDescent="0.35">
      <c r="A83">
        <v>6</v>
      </c>
      <c r="B83">
        <v>7</v>
      </c>
      <c r="C83" s="2">
        <v>5.6977E-2</v>
      </c>
      <c r="D83" s="1">
        <v>323595</v>
      </c>
      <c r="E83" s="4">
        <v>0.51034199999999996</v>
      </c>
      <c r="F83" s="1">
        <v>145062</v>
      </c>
    </row>
    <row r="84" spans="1:6" x14ac:dyDescent="0.35">
      <c r="A84">
        <v>6</v>
      </c>
      <c r="B84">
        <v>8</v>
      </c>
      <c r="C84" s="2">
        <v>6.1490000000000003E-2</v>
      </c>
      <c r="D84" s="1">
        <v>363081</v>
      </c>
      <c r="E84" s="4">
        <v>0.51829599999999998</v>
      </c>
      <c r="F84" s="1">
        <v>170711</v>
      </c>
    </row>
    <row r="85" spans="1:6" x14ac:dyDescent="0.35">
      <c r="A85">
        <v>6</v>
      </c>
      <c r="B85">
        <v>9</v>
      </c>
      <c r="C85" s="2">
        <v>6.9027000000000005E-2</v>
      </c>
      <c r="D85" s="1">
        <v>386422</v>
      </c>
      <c r="E85" s="4">
        <v>0.54672299999999996</v>
      </c>
      <c r="F85" s="1">
        <v>199775</v>
      </c>
    </row>
    <row r="86" spans="1:6" x14ac:dyDescent="0.35">
      <c r="A86">
        <v>6</v>
      </c>
      <c r="B86">
        <v>10</v>
      </c>
      <c r="C86" s="2">
        <v>9.2748999999999998E-2</v>
      </c>
      <c r="D86" s="1">
        <v>564867</v>
      </c>
      <c r="E86" s="4">
        <v>0.55427599999999999</v>
      </c>
      <c r="F86" s="1">
        <v>276797</v>
      </c>
    </row>
    <row r="87" spans="1:6" x14ac:dyDescent="0.35">
      <c r="A87">
        <v>6</v>
      </c>
      <c r="B87">
        <v>11</v>
      </c>
      <c r="C87" s="2">
        <v>0.11264</v>
      </c>
      <c r="D87" s="1">
        <v>874818</v>
      </c>
      <c r="E87" s="4">
        <v>0.51776599999999995</v>
      </c>
      <c r="F87" s="1">
        <v>381478</v>
      </c>
    </row>
    <row r="88" spans="1:6" x14ac:dyDescent="0.35">
      <c r="A88">
        <v>6</v>
      </c>
      <c r="B88">
        <v>12</v>
      </c>
      <c r="C88" s="2">
        <v>0.15415400000000001</v>
      </c>
      <c r="D88" s="1">
        <v>1013170</v>
      </c>
      <c r="E88" s="4">
        <v>0.58004900000000004</v>
      </c>
      <c r="F88" s="1">
        <v>506969</v>
      </c>
    </row>
    <row r="89" spans="1:6" x14ac:dyDescent="0.35">
      <c r="A89">
        <v>6</v>
      </c>
      <c r="B89">
        <v>13</v>
      </c>
      <c r="C89" s="2">
        <v>0.18646099999999999</v>
      </c>
      <c r="D89" s="1">
        <v>930477</v>
      </c>
      <c r="E89" s="4">
        <v>0.55602399999999996</v>
      </c>
      <c r="F89" s="1">
        <v>633388</v>
      </c>
    </row>
    <row r="90" spans="1:6" x14ac:dyDescent="0.35">
      <c r="A90">
        <v>6</v>
      </c>
      <c r="B90">
        <v>14</v>
      </c>
      <c r="C90" s="2">
        <v>0.24684700000000001</v>
      </c>
      <c r="D90" s="1">
        <v>851676</v>
      </c>
      <c r="E90" s="4">
        <v>0.53779100000000002</v>
      </c>
      <c r="F90" s="1">
        <v>804388</v>
      </c>
    </row>
    <row r="91" spans="1:6" x14ac:dyDescent="0.35">
      <c r="A91">
        <v>6</v>
      </c>
      <c r="B91">
        <v>15</v>
      </c>
      <c r="C91" s="2">
        <v>0.30401299999999998</v>
      </c>
      <c r="D91" s="1">
        <v>819476</v>
      </c>
      <c r="E91" s="4">
        <v>0.52577499999999999</v>
      </c>
      <c r="F91" s="1">
        <v>1009500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0109C-A6BC-4106-8FA5-AB94BA5FD49F}">
  <dimension ref="A1:H16"/>
  <sheetViews>
    <sheetView workbookViewId="0">
      <selection activeCell="A19" sqref="A19:E25"/>
    </sheetView>
  </sheetViews>
  <sheetFormatPr defaultRowHeight="14.5" x14ac:dyDescent="0.35"/>
  <cols>
    <col min="1" max="1" width="18.36328125" customWidth="1"/>
    <col min="2" max="2" width="15.36328125" customWidth="1"/>
    <col min="3" max="3" width="15.08984375" customWidth="1"/>
    <col min="4" max="4" width="12.90625" customWidth="1"/>
    <col min="5" max="5" width="20.453125" customWidth="1"/>
    <col min="6" max="6" width="18.81640625" customWidth="1"/>
    <col min="7" max="7" width="19.453125" customWidth="1"/>
    <col min="8" max="8" width="18.54296875" customWidth="1"/>
  </cols>
  <sheetData>
    <row r="1" spans="1:8" ht="21.5" thickBot="1" x14ac:dyDescent="0.55000000000000004">
      <c r="B1" t="s">
        <v>40</v>
      </c>
    </row>
    <row r="2" spans="1:8" ht="15.5" x14ac:dyDescent="0.35">
      <c r="A2" s="9" t="s">
        <v>2</v>
      </c>
      <c r="B2" s="9"/>
      <c r="C2" s="9" t="s">
        <v>3</v>
      </c>
      <c r="D2" s="9"/>
      <c r="E2" s="9" t="s">
        <v>4</v>
      </c>
      <c r="F2" s="9"/>
      <c r="G2" s="9" t="s">
        <v>5</v>
      </c>
      <c r="H2" s="7"/>
    </row>
    <row r="3" spans="1:8" x14ac:dyDescent="0.35">
      <c r="A3" s="5"/>
      <c r="B3" s="5"/>
      <c r="C3" s="5"/>
      <c r="D3" s="5"/>
      <c r="E3" s="5"/>
      <c r="F3" s="5"/>
      <c r="G3" s="5"/>
      <c r="H3" s="5"/>
    </row>
    <row r="4" spans="1:8" ht="15.5" x14ac:dyDescent="0.35">
      <c r="A4" s="10" t="s">
        <v>6</v>
      </c>
      <c r="B4" s="5">
        <v>0.54499464444444434</v>
      </c>
      <c r="C4" s="10" t="s">
        <v>6</v>
      </c>
      <c r="D4" s="5">
        <v>471683.01111111109</v>
      </c>
      <c r="E4" s="10" t="s">
        <v>6</v>
      </c>
      <c r="F4" s="5">
        <v>0.56046015555555562</v>
      </c>
      <c r="G4" s="10" t="s">
        <v>6</v>
      </c>
      <c r="H4" s="5">
        <v>1122523.8333333333</v>
      </c>
    </row>
    <row r="5" spans="1:8" ht="15.5" x14ac:dyDescent="0.35">
      <c r="A5" s="10" t="s">
        <v>7</v>
      </c>
      <c r="B5" s="5">
        <v>5.6244951745148299E-2</v>
      </c>
      <c r="C5" s="10" t="s">
        <v>7</v>
      </c>
      <c r="D5" s="5">
        <v>34732.656133996868</v>
      </c>
      <c r="E5" s="10" t="s">
        <v>7</v>
      </c>
      <c r="F5" s="5">
        <v>5.5649132437500491E-3</v>
      </c>
      <c r="G5" s="10" t="s">
        <v>7</v>
      </c>
      <c r="H5" s="5">
        <v>125655.70685357063</v>
      </c>
    </row>
    <row r="6" spans="1:8" ht="15.5" x14ac:dyDescent="0.35">
      <c r="A6" s="10" t="s">
        <v>8</v>
      </c>
      <c r="B6" s="5">
        <v>0.30502799999999997</v>
      </c>
      <c r="C6" s="10" t="s">
        <v>8</v>
      </c>
      <c r="D6" s="5">
        <v>357433.5</v>
      </c>
      <c r="E6" s="10" t="s">
        <v>8</v>
      </c>
      <c r="F6" s="5">
        <v>0.56608499999999995</v>
      </c>
      <c r="G6" s="10" t="s">
        <v>8</v>
      </c>
      <c r="H6" s="5">
        <v>637001</v>
      </c>
    </row>
    <row r="7" spans="1:8" ht="15.5" x14ac:dyDescent="0.35">
      <c r="A7" s="10" t="s">
        <v>9</v>
      </c>
      <c r="B7" s="5" t="e">
        <v>#N/A</v>
      </c>
      <c r="C7" s="10" t="s">
        <v>9</v>
      </c>
      <c r="D7" s="5" t="e">
        <v>#N/A</v>
      </c>
      <c r="E7" s="10" t="s">
        <v>9</v>
      </c>
      <c r="F7" s="5" t="e">
        <v>#N/A</v>
      </c>
      <c r="G7" s="10" t="s">
        <v>9</v>
      </c>
      <c r="H7" s="5" t="e">
        <v>#N/A</v>
      </c>
    </row>
    <row r="8" spans="1:8" ht="15.5" x14ac:dyDescent="0.35">
      <c r="A8" s="10" t="s">
        <v>10</v>
      </c>
      <c r="B8" s="5">
        <v>0.5335864632027929</v>
      </c>
      <c r="C8" s="10" t="s">
        <v>10</v>
      </c>
      <c r="D8" s="5">
        <v>329502.9077125456</v>
      </c>
      <c r="E8" s="10" t="s">
        <v>10</v>
      </c>
      <c r="F8" s="5">
        <v>5.2793402494457797E-2</v>
      </c>
      <c r="G8" s="10" t="s">
        <v>10</v>
      </c>
      <c r="H8" s="5">
        <v>1192074.7039671394</v>
      </c>
    </row>
    <row r="9" spans="1:8" ht="15.5" x14ac:dyDescent="0.35">
      <c r="A9" s="10" t="s">
        <v>11</v>
      </c>
      <c r="B9" s="5">
        <v>0.2847145137132655</v>
      </c>
      <c r="C9" s="10" t="s">
        <v>11</v>
      </c>
      <c r="D9" s="5">
        <v>108572166191.02234</v>
      </c>
      <c r="E9" s="10" t="s">
        <v>11</v>
      </c>
      <c r="F9" s="5">
        <v>2.7871433469418227E-3</v>
      </c>
      <c r="G9" s="10" t="s">
        <v>11</v>
      </c>
      <c r="H9" s="5">
        <v>1421042099838.3428</v>
      </c>
    </row>
    <row r="10" spans="1:8" ht="15.5" x14ac:dyDescent="0.35">
      <c r="A10" s="10" t="s">
        <v>12</v>
      </c>
      <c r="B10" s="5">
        <v>-0.23762641199883827</v>
      </c>
      <c r="C10" s="10" t="s">
        <v>12</v>
      </c>
      <c r="D10" s="5">
        <v>-1.4698466875477456</v>
      </c>
      <c r="E10" s="10" t="s">
        <v>12</v>
      </c>
      <c r="F10" s="5">
        <v>-0.24562325465383017</v>
      </c>
      <c r="G10" s="10" t="s">
        <v>12</v>
      </c>
      <c r="H10" s="5">
        <v>1.4205616636971667</v>
      </c>
    </row>
    <row r="11" spans="1:8" ht="15.5" x14ac:dyDescent="0.35">
      <c r="A11" s="10" t="s">
        <v>13</v>
      </c>
      <c r="B11" s="5">
        <v>1.0175189239602054</v>
      </c>
      <c r="C11" s="10" t="s">
        <v>13</v>
      </c>
      <c r="D11" s="5">
        <v>0.42263856506362818</v>
      </c>
      <c r="E11" s="10" t="s">
        <v>13</v>
      </c>
      <c r="F11" s="5">
        <v>-0.31051784716138991</v>
      </c>
      <c r="G11" s="10" t="s">
        <v>13</v>
      </c>
      <c r="H11" s="5">
        <v>1.5382193680342187</v>
      </c>
    </row>
    <row r="12" spans="1:8" ht="15.5" x14ac:dyDescent="0.35">
      <c r="A12" s="10" t="s">
        <v>14</v>
      </c>
      <c r="B12" s="5">
        <v>1.8987780000000001</v>
      </c>
      <c r="C12" s="10" t="s">
        <v>14</v>
      </c>
      <c r="D12" s="5">
        <v>911815</v>
      </c>
      <c r="E12" s="10" t="s">
        <v>14</v>
      </c>
      <c r="F12" s="5">
        <v>0.24422099999999997</v>
      </c>
      <c r="G12" s="10" t="s">
        <v>14</v>
      </c>
      <c r="H12" s="5">
        <v>4679342</v>
      </c>
    </row>
    <row r="13" spans="1:8" ht="15.5" x14ac:dyDescent="0.35">
      <c r="A13" s="10" t="s">
        <v>15</v>
      </c>
      <c r="B13" s="5">
        <v>3.7682E-2</v>
      </c>
      <c r="C13" s="10" t="s">
        <v>15</v>
      </c>
      <c r="D13" s="5">
        <v>103795</v>
      </c>
      <c r="E13" s="10" t="s">
        <v>15</v>
      </c>
      <c r="F13" s="5">
        <v>0.43206600000000001</v>
      </c>
      <c r="G13" s="10" t="s">
        <v>15</v>
      </c>
      <c r="H13" s="5">
        <v>68978</v>
      </c>
    </row>
    <row r="14" spans="1:8" ht="15.5" x14ac:dyDescent="0.35">
      <c r="A14" s="10" t="s">
        <v>16</v>
      </c>
      <c r="B14" s="5">
        <v>1.9364600000000001</v>
      </c>
      <c r="C14" s="10" t="s">
        <v>16</v>
      </c>
      <c r="D14" s="5">
        <v>1015610</v>
      </c>
      <c r="E14" s="10" t="s">
        <v>16</v>
      </c>
      <c r="F14" s="5">
        <v>0.67628699999999997</v>
      </c>
      <c r="G14" s="10" t="s">
        <v>16</v>
      </c>
      <c r="H14" s="5">
        <v>4748320</v>
      </c>
    </row>
    <row r="15" spans="1:8" ht="15.5" x14ac:dyDescent="0.35">
      <c r="A15" s="10" t="s">
        <v>17</v>
      </c>
      <c r="B15" s="5">
        <v>49.049517999999992</v>
      </c>
      <c r="C15" s="10" t="s">
        <v>17</v>
      </c>
      <c r="D15" s="5">
        <v>42451471</v>
      </c>
      <c r="E15" s="10" t="s">
        <v>17</v>
      </c>
      <c r="F15" s="5">
        <v>50.441414000000002</v>
      </c>
      <c r="G15" s="10" t="s">
        <v>17</v>
      </c>
      <c r="H15" s="5">
        <v>101027145</v>
      </c>
    </row>
    <row r="16" spans="1:8" ht="16" thickBot="1" x14ac:dyDescent="0.4">
      <c r="A16" s="11" t="s">
        <v>18</v>
      </c>
      <c r="B16" s="6">
        <v>90</v>
      </c>
      <c r="C16" s="11" t="s">
        <v>18</v>
      </c>
      <c r="D16" s="6">
        <v>90</v>
      </c>
      <c r="E16" s="11" t="s">
        <v>18</v>
      </c>
      <c r="F16" s="6">
        <v>90</v>
      </c>
      <c r="G16" s="11" t="s">
        <v>18</v>
      </c>
      <c r="H16" s="6">
        <v>90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106FD-CB79-4BDC-BF83-D0B81C0C23AB}">
  <dimension ref="B2:F8"/>
  <sheetViews>
    <sheetView topLeftCell="B1" workbookViewId="0">
      <selection activeCell="V2" sqref="V2"/>
    </sheetView>
  </sheetViews>
  <sheetFormatPr defaultRowHeight="14.5" x14ac:dyDescent="0.35"/>
  <cols>
    <col min="2" max="2" width="17.7265625" customWidth="1"/>
    <col min="3" max="3" width="11.54296875" customWidth="1"/>
    <col min="4" max="4" width="11.6328125" customWidth="1"/>
    <col min="5" max="5" width="15.453125" customWidth="1"/>
    <col min="6" max="6" width="19.26953125" customWidth="1"/>
  </cols>
  <sheetData>
    <row r="2" spans="2:6" ht="26" x14ac:dyDescent="0.6">
      <c r="D2" s="16" t="s">
        <v>43</v>
      </c>
    </row>
    <row r="3" spans="2:6" ht="15" thickBot="1" x14ac:dyDescent="0.4"/>
    <row r="4" spans="2:6" ht="18.5" x14ac:dyDescent="0.45">
      <c r="B4" s="7"/>
      <c r="C4" s="18" t="s">
        <v>2</v>
      </c>
      <c r="D4" s="18" t="s">
        <v>3</v>
      </c>
      <c r="E4" s="18" t="s">
        <v>4</v>
      </c>
      <c r="F4" s="18" t="s">
        <v>5</v>
      </c>
    </row>
    <row r="5" spans="2:6" ht="15.5" x14ac:dyDescent="0.35">
      <c r="B5" s="10" t="s">
        <v>2</v>
      </c>
      <c r="C5" s="5">
        <v>1</v>
      </c>
      <c r="D5" s="5"/>
      <c r="E5" s="5"/>
      <c r="F5" s="5"/>
    </row>
    <row r="6" spans="2:6" ht="15.5" x14ac:dyDescent="0.35">
      <c r="B6" s="10" t="s">
        <v>3</v>
      </c>
      <c r="C6" s="5">
        <v>0.22761247976066334</v>
      </c>
      <c r="D6" s="5">
        <v>1</v>
      </c>
      <c r="E6" s="5"/>
      <c r="F6" s="5"/>
    </row>
    <row r="7" spans="2:6" ht="15.5" x14ac:dyDescent="0.35">
      <c r="B7" s="10" t="s">
        <v>4</v>
      </c>
      <c r="C7" s="5">
        <v>0.42481001489346049</v>
      </c>
      <c r="D7" s="5">
        <v>0.48670012139561775</v>
      </c>
      <c r="E7" s="5">
        <v>1</v>
      </c>
      <c r="F7" s="5"/>
    </row>
    <row r="8" spans="2:6" ht="16" thickBot="1" x14ac:dyDescent="0.4">
      <c r="B8" s="11" t="s">
        <v>5</v>
      </c>
      <c r="C8" s="6">
        <v>0.92632688104344596</v>
      </c>
      <c r="D8" s="6">
        <v>0.47904373608180967</v>
      </c>
      <c r="E8" s="6">
        <v>0.41433772259655216</v>
      </c>
      <c r="F8" s="6">
        <v>1</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A948-DDC4-424D-97CC-DE7FA6BBE4D5}">
  <dimension ref="B2:X19"/>
  <sheetViews>
    <sheetView zoomScale="69" zoomScaleNormal="69" workbookViewId="0">
      <selection activeCell="U27" sqref="U27"/>
    </sheetView>
  </sheetViews>
  <sheetFormatPr defaultRowHeight="14.5" x14ac:dyDescent="0.35"/>
  <sheetData>
    <row r="2" spans="3:24" ht="15.5" x14ac:dyDescent="0.35">
      <c r="C2" s="15" t="s">
        <v>42</v>
      </c>
      <c r="K2" s="15" t="s">
        <v>47</v>
      </c>
      <c r="L2" s="15"/>
      <c r="M2" s="15"/>
      <c r="N2" s="15"/>
      <c r="O2" s="15"/>
      <c r="T2" s="15"/>
      <c r="U2" s="15"/>
      <c r="V2" s="15"/>
      <c r="W2" s="15"/>
      <c r="X2" s="15"/>
    </row>
    <row r="19" spans="2:14" ht="15.5" x14ac:dyDescent="0.35">
      <c r="B19" s="15" t="s">
        <v>51</v>
      </c>
      <c r="C19" s="15"/>
      <c r="D19" s="15"/>
      <c r="E19" s="15"/>
      <c r="F19" s="15"/>
      <c r="J19" s="15" t="s">
        <v>52</v>
      </c>
      <c r="K19" s="15"/>
      <c r="L19" s="15"/>
      <c r="M19" s="15"/>
      <c r="N19" s="1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772EB4-B328-4E2F-9041-7238ED5EA3C3}">
  <dimension ref="B3:J21"/>
  <sheetViews>
    <sheetView zoomScale="72" zoomScaleNormal="72" workbookViewId="0">
      <selection activeCell="A3" sqref="A3"/>
    </sheetView>
  </sheetViews>
  <sheetFormatPr defaultRowHeight="14.5" x14ac:dyDescent="0.35"/>
  <cols>
    <col min="2" max="2" width="18.6328125" customWidth="1"/>
    <col min="3" max="3" width="16.1796875" customWidth="1"/>
    <col min="4" max="4" width="14.36328125" customWidth="1"/>
    <col min="5" max="5" width="11.1796875" customWidth="1"/>
    <col min="7" max="7" width="14.81640625" customWidth="1"/>
    <col min="8" max="8" width="12.6328125" customWidth="1"/>
    <col min="9" max="9" width="12.08984375" customWidth="1"/>
    <col min="10" max="10" width="13.08984375" customWidth="1"/>
  </cols>
  <sheetData>
    <row r="3" spans="2:7" ht="19" thickBot="1" x14ac:dyDescent="0.5">
      <c r="B3" s="19" t="s">
        <v>44</v>
      </c>
    </row>
    <row r="4" spans="2:7" x14ac:dyDescent="0.35">
      <c r="B4" s="8"/>
      <c r="C4" s="8"/>
    </row>
    <row r="5" spans="2:7" ht="15.5" x14ac:dyDescent="0.35">
      <c r="B5" s="10" t="s">
        <v>19</v>
      </c>
      <c r="C5" s="5">
        <v>0.92928435915358276</v>
      </c>
    </row>
    <row r="6" spans="2:7" ht="15.5" x14ac:dyDescent="0.35">
      <c r="B6" s="10" t="s">
        <v>20</v>
      </c>
      <c r="C6" s="5">
        <v>0.86356942016748506</v>
      </c>
    </row>
    <row r="7" spans="2:7" ht="15.5" x14ac:dyDescent="0.35">
      <c r="B7" s="10" t="s">
        <v>21</v>
      </c>
      <c r="C7" s="5">
        <v>0.86200125258320326</v>
      </c>
    </row>
    <row r="8" spans="2:7" ht="15.5" x14ac:dyDescent="0.35">
      <c r="B8" s="10" t="s">
        <v>7</v>
      </c>
      <c r="C8" s="5">
        <v>445342.49910916557</v>
      </c>
    </row>
    <row r="9" spans="2:7" ht="16" thickBot="1" x14ac:dyDescent="0.4">
      <c r="B9" s="11" t="s">
        <v>22</v>
      </c>
      <c r="C9" s="6">
        <v>89</v>
      </c>
    </row>
    <row r="13" spans="2:7" ht="16" thickBot="1" x14ac:dyDescent="0.4">
      <c r="B13" s="15" t="s">
        <v>23</v>
      </c>
      <c r="C13" s="15"/>
      <c r="D13" s="15"/>
      <c r="E13" s="15"/>
      <c r="F13" s="15"/>
      <c r="G13" s="15"/>
    </row>
    <row r="14" spans="2:7" ht="15.5" x14ac:dyDescent="0.35">
      <c r="B14" s="17"/>
      <c r="C14" s="17" t="s">
        <v>28</v>
      </c>
      <c r="D14" s="17" t="s">
        <v>29</v>
      </c>
      <c r="E14" s="17" t="s">
        <v>30</v>
      </c>
      <c r="F14" s="17" t="s">
        <v>31</v>
      </c>
      <c r="G14" s="17" t="s">
        <v>32</v>
      </c>
    </row>
    <row r="15" spans="2:7" ht="15.5" x14ac:dyDescent="0.35">
      <c r="B15" s="10" t="s">
        <v>24</v>
      </c>
      <c r="C15" s="5">
        <v>1</v>
      </c>
      <c r="D15" s="5">
        <v>109217710090914.59</v>
      </c>
      <c r="E15" s="5">
        <v>109217710090914.59</v>
      </c>
      <c r="F15" s="5">
        <v>550.68694750695204</v>
      </c>
      <c r="G15" s="5">
        <v>2.1412939000019037E-39</v>
      </c>
    </row>
    <row r="16" spans="2:7" ht="15.5" x14ac:dyDescent="0.35">
      <c r="B16" s="10" t="s">
        <v>25</v>
      </c>
      <c r="C16" s="5">
        <v>87</v>
      </c>
      <c r="D16" s="5">
        <v>17254704911613.352</v>
      </c>
      <c r="E16" s="5">
        <v>198329941512.79715</v>
      </c>
      <c r="F16" s="5"/>
      <c r="G16" s="5"/>
    </row>
    <row r="17" spans="2:10" ht="16" thickBot="1" x14ac:dyDescent="0.4">
      <c r="B17" s="11" t="s">
        <v>26</v>
      </c>
      <c r="C17" s="6">
        <v>88</v>
      </c>
      <c r="D17" s="6">
        <v>126472415002527.94</v>
      </c>
      <c r="E17" s="6"/>
      <c r="F17" s="6"/>
      <c r="G17" s="6"/>
    </row>
    <row r="18" spans="2:10" ht="15" thickBot="1" x14ac:dyDescent="0.4"/>
    <row r="19" spans="2:10" ht="15.5" x14ac:dyDescent="0.35">
      <c r="B19" s="7"/>
      <c r="C19" s="17" t="s">
        <v>33</v>
      </c>
      <c r="D19" s="17" t="s">
        <v>7</v>
      </c>
      <c r="E19" s="17" t="s">
        <v>34</v>
      </c>
      <c r="F19" s="17" t="s">
        <v>35</v>
      </c>
      <c r="G19" s="17" t="s">
        <v>36</v>
      </c>
      <c r="H19" s="17" t="s">
        <v>37</v>
      </c>
      <c r="I19" s="17" t="s">
        <v>38</v>
      </c>
      <c r="J19" s="17" t="s">
        <v>39</v>
      </c>
    </row>
    <row r="20" spans="2:10" ht="15.5" x14ac:dyDescent="0.35">
      <c r="B20" s="10" t="s">
        <v>27</v>
      </c>
      <c r="C20" s="5">
        <v>-3368.1718643542845</v>
      </c>
      <c r="D20" s="5">
        <v>67301.603949860102</v>
      </c>
      <c r="E20" s="5">
        <v>-5.0045937491528178E-2</v>
      </c>
      <c r="F20" s="5">
        <v>0.96020050096706122</v>
      </c>
      <c r="G20" s="5">
        <v>-137137.3972393242</v>
      </c>
      <c r="H20" s="5">
        <v>130401.05351061563</v>
      </c>
      <c r="I20" s="5">
        <v>-137137.3972393242</v>
      </c>
      <c r="J20" s="5">
        <v>130401.05351061563</v>
      </c>
    </row>
    <row r="21" spans="2:10" ht="15" thickBot="1" x14ac:dyDescent="0.4">
      <c r="B21" s="6">
        <v>0.95275699999999997</v>
      </c>
      <c r="C21" s="6">
        <v>2083014.9517953522</v>
      </c>
      <c r="D21" s="6">
        <v>88764.639962152956</v>
      </c>
      <c r="E21" s="6">
        <v>23.466719998903823</v>
      </c>
      <c r="F21" s="6">
        <v>2.1412939000018431E-39</v>
      </c>
      <c r="G21" s="6">
        <v>1906585.6182943045</v>
      </c>
      <c r="H21" s="6">
        <v>2259444.2852964001</v>
      </c>
      <c r="I21" s="6">
        <v>1906585.6182943045</v>
      </c>
      <c r="J21" s="6">
        <v>2259444.2852964001</v>
      </c>
    </row>
  </sheetData>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C4BA-77B9-4C42-A3C2-D84952B622EF}">
  <dimension ref="B2:J22"/>
  <sheetViews>
    <sheetView zoomScale="82" zoomScaleNormal="82" workbookViewId="0">
      <selection activeCell="L4" sqref="L4"/>
    </sheetView>
  </sheetViews>
  <sheetFormatPr defaultRowHeight="14.5" x14ac:dyDescent="0.35"/>
  <cols>
    <col min="2" max="2" width="17.08984375" customWidth="1"/>
    <col min="3" max="3" width="14.26953125" customWidth="1"/>
    <col min="4" max="4" width="14.7265625" customWidth="1"/>
    <col min="5" max="5" width="11.26953125" customWidth="1"/>
    <col min="6" max="6" width="12.6328125" customWidth="1"/>
    <col min="7" max="7" width="11.08984375" customWidth="1"/>
    <col min="8" max="8" width="10.81640625" customWidth="1"/>
    <col min="9" max="9" width="11.08984375" customWidth="1"/>
    <col min="10" max="10" width="12.7265625" customWidth="1"/>
  </cols>
  <sheetData>
    <row r="2" spans="2:7" ht="17.5" thickBot="1" x14ac:dyDescent="0.45">
      <c r="B2" s="20" t="s">
        <v>45</v>
      </c>
      <c r="C2" s="20"/>
      <c r="D2" s="20"/>
    </row>
    <row r="3" spans="2:7" x14ac:dyDescent="0.35">
      <c r="B3" s="8"/>
      <c r="C3" s="8"/>
    </row>
    <row r="4" spans="2:7" ht="15.5" x14ac:dyDescent="0.35">
      <c r="B4" s="10" t="s">
        <v>19</v>
      </c>
      <c r="C4" s="5">
        <v>0.97267333853403581</v>
      </c>
    </row>
    <row r="5" spans="2:7" ht="15.5" x14ac:dyDescent="0.35">
      <c r="B5" s="10" t="s">
        <v>20</v>
      </c>
      <c r="C5" s="5">
        <v>0.94609342349494696</v>
      </c>
    </row>
    <row r="6" spans="2:7" ht="15.5" x14ac:dyDescent="0.35">
      <c r="B6" s="10" t="s">
        <v>21</v>
      </c>
      <c r="C6" s="5">
        <v>0.94421296152384038</v>
      </c>
    </row>
    <row r="7" spans="2:7" ht="15.5" x14ac:dyDescent="0.35">
      <c r="B7" s="10" t="s">
        <v>7</v>
      </c>
      <c r="C7" s="5">
        <v>281559.46139301371</v>
      </c>
    </row>
    <row r="8" spans="2:7" ht="16" thickBot="1" x14ac:dyDescent="0.4">
      <c r="B8" s="11" t="s">
        <v>22</v>
      </c>
      <c r="C8" s="6">
        <v>90</v>
      </c>
    </row>
    <row r="12" spans="2:7" ht="15" thickBot="1" x14ac:dyDescent="0.4">
      <c r="B12" t="s">
        <v>23</v>
      </c>
    </row>
    <row r="13" spans="2:7" x14ac:dyDescent="0.35">
      <c r="B13" s="7"/>
      <c r="C13" s="7" t="s">
        <v>28</v>
      </c>
      <c r="D13" s="7" t="s">
        <v>29</v>
      </c>
      <c r="E13" s="7" t="s">
        <v>30</v>
      </c>
      <c r="F13" s="7" t="s">
        <v>31</v>
      </c>
      <c r="G13" s="7" t="s">
        <v>32</v>
      </c>
    </row>
    <row r="14" spans="2:7" x14ac:dyDescent="0.35">
      <c r="B14" s="5" t="s">
        <v>24</v>
      </c>
      <c r="C14" s="5">
        <v>3</v>
      </c>
      <c r="D14" s="5">
        <v>119655034079818.95</v>
      </c>
      <c r="E14" s="5">
        <v>39885011359939.648</v>
      </c>
      <c r="F14" s="5">
        <v>503.11755198019154</v>
      </c>
      <c r="G14" s="5">
        <v>2.0979294984995447E-54</v>
      </c>
    </row>
    <row r="15" spans="2:7" x14ac:dyDescent="0.35">
      <c r="B15" s="5" t="s">
        <v>25</v>
      </c>
      <c r="C15" s="5">
        <v>86</v>
      </c>
      <c r="D15" s="5">
        <v>6817712805793.4619</v>
      </c>
      <c r="E15" s="5">
        <v>79275730299.923981</v>
      </c>
      <c r="F15" s="5"/>
      <c r="G15" s="5"/>
    </row>
    <row r="16" spans="2:7" ht="15" thickBot="1" x14ac:dyDescent="0.4">
      <c r="B16" s="6" t="s">
        <v>26</v>
      </c>
      <c r="C16" s="6">
        <v>89</v>
      </c>
      <c r="D16" s="6">
        <v>126472746885612.42</v>
      </c>
      <c r="E16" s="6"/>
      <c r="F16" s="6"/>
      <c r="G16" s="6"/>
    </row>
    <row r="17" spans="2:10" ht="15" thickBot="1" x14ac:dyDescent="0.4"/>
    <row r="18" spans="2:10" x14ac:dyDescent="0.35">
      <c r="B18" s="7"/>
      <c r="C18" s="7" t="s">
        <v>33</v>
      </c>
      <c r="D18" s="7" t="s">
        <v>7</v>
      </c>
      <c r="E18" s="7" t="s">
        <v>34</v>
      </c>
      <c r="F18" s="7" t="s">
        <v>35</v>
      </c>
      <c r="G18" s="7" t="s">
        <v>36</v>
      </c>
      <c r="H18" s="7" t="s">
        <v>37</v>
      </c>
      <c r="I18" s="7" t="s">
        <v>38</v>
      </c>
      <c r="J18" s="7" t="s">
        <v>39</v>
      </c>
    </row>
    <row r="19" spans="2:10" x14ac:dyDescent="0.35">
      <c r="B19" s="5" t="s">
        <v>27</v>
      </c>
      <c r="C19" s="5">
        <v>1158559.2010938236</v>
      </c>
      <c r="D19" s="5">
        <v>360592.71993404895</v>
      </c>
      <c r="E19" s="5">
        <v>3.2129300927254434</v>
      </c>
      <c r="F19" s="5">
        <v>1.8498183275922632E-3</v>
      </c>
      <c r="G19" s="5">
        <v>441724.5986161615</v>
      </c>
      <c r="H19" s="5">
        <v>1875393.8035714859</v>
      </c>
      <c r="I19" s="5">
        <v>441724.5986161615</v>
      </c>
      <c r="J19" s="5">
        <v>1875393.8035714859</v>
      </c>
    </row>
    <row r="20" spans="2:10" x14ac:dyDescent="0.35">
      <c r="B20" s="5" t="s">
        <v>2</v>
      </c>
      <c r="C20" s="5">
        <v>2026114.339909124</v>
      </c>
      <c r="D20" s="5">
        <v>61806.945481957744</v>
      </c>
      <c r="E20" s="5">
        <v>32.781337503575116</v>
      </c>
      <c r="F20" s="5">
        <v>2.2468604783319625E-50</v>
      </c>
      <c r="G20" s="5">
        <v>1903246.1988023901</v>
      </c>
      <c r="H20" s="5">
        <v>2148982.4810158578</v>
      </c>
      <c r="I20" s="5">
        <v>1903246.1988023901</v>
      </c>
      <c r="J20" s="5">
        <v>2148982.4810158578</v>
      </c>
    </row>
    <row r="21" spans="2:10" x14ac:dyDescent="0.35">
      <c r="B21" s="5" t="s">
        <v>3</v>
      </c>
      <c r="C21" s="5">
        <v>1.2253475975574666</v>
      </c>
      <c r="D21" s="5">
        <v>0.1037217178986929</v>
      </c>
      <c r="E21" s="5">
        <v>11.813799678426927</v>
      </c>
      <c r="F21" s="5">
        <v>1.0650326862272063E-19</v>
      </c>
      <c r="G21" s="5">
        <v>1.0191556466167813</v>
      </c>
      <c r="H21" s="5">
        <v>1.4315395484981519</v>
      </c>
      <c r="I21" s="5">
        <v>1.0191556466167813</v>
      </c>
      <c r="J21" s="5">
        <v>1.4315395484981519</v>
      </c>
    </row>
    <row r="22" spans="2:10" ht="15" thickBot="1" x14ac:dyDescent="0.4">
      <c r="B22" s="6" t="s">
        <v>4</v>
      </c>
      <c r="C22" s="6">
        <v>-3065753.1306815711</v>
      </c>
      <c r="D22" s="6">
        <v>696327.31832077331</v>
      </c>
      <c r="E22" s="6">
        <v>-4.4027471707914341</v>
      </c>
      <c r="F22" s="6">
        <v>3.058365702471722E-5</v>
      </c>
      <c r="G22" s="6">
        <v>-4450006.0255101211</v>
      </c>
      <c r="H22" s="6">
        <v>-1681500.2358530206</v>
      </c>
      <c r="I22" s="6">
        <v>-4450006.0255101211</v>
      </c>
      <c r="J22" s="6">
        <v>-1681500.2358530206</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DE0BD-251A-405F-BBFC-E2A1CE5A7079}">
  <dimension ref="B3:AH20"/>
  <sheetViews>
    <sheetView workbookViewId="0">
      <selection activeCell="AD7" sqref="AD7"/>
    </sheetView>
  </sheetViews>
  <sheetFormatPr defaultRowHeight="14.5" x14ac:dyDescent="0.35"/>
  <cols>
    <col min="2" max="2" width="17.7265625" customWidth="1"/>
    <col min="8" max="8" width="9" customWidth="1"/>
    <col min="11" max="11" width="17.7265625" customWidth="1"/>
    <col min="20" max="20" width="20" customWidth="1"/>
    <col min="28" max="28" width="24.90625" customWidth="1"/>
  </cols>
  <sheetData>
    <row r="3" spans="2:34" x14ac:dyDescent="0.35">
      <c r="B3" s="12" t="s">
        <v>46</v>
      </c>
      <c r="C3" t="s">
        <v>0</v>
      </c>
      <c r="K3" s="12" t="s">
        <v>49</v>
      </c>
      <c r="L3" t="s">
        <v>0</v>
      </c>
      <c r="T3" s="12" t="s">
        <v>48</v>
      </c>
      <c r="U3" t="s">
        <v>0</v>
      </c>
      <c r="AB3" s="12" t="s">
        <v>50</v>
      </c>
      <c r="AC3" t="s">
        <v>0</v>
      </c>
    </row>
    <row r="4" spans="2:34" x14ac:dyDescent="0.35">
      <c r="B4" s="12" t="s">
        <v>1</v>
      </c>
      <c r="C4" s="12">
        <v>1</v>
      </c>
      <c r="D4" s="12">
        <v>2</v>
      </c>
      <c r="E4" s="12">
        <v>3</v>
      </c>
      <c r="F4" s="12">
        <v>4</v>
      </c>
      <c r="G4" s="12">
        <v>5</v>
      </c>
      <c r="H4" s="12">
        <v>6</v>
      </c>
      <c r="K4" s="12" t="s">
        <v>1</v>
      </c>
      <c r="L4" s="12">
        <v>1</v>
      </c>
      <c r="M4" s="12">
        <v>2</v>
      </c>
      <c r="N4" s="12">
        <v>3</v>
      </c>
      <c r="O4" s="12">
        <v>4</v>
      </c>
      <c r="P4" s="12">
        <v>5</v>
      </c>
      <c r="Q4" s="12">
        <v>6</v>
      </c>
      <c r="T4" s="12" t="s">
        <v>1</v>
      </c>
      <c r="U4" s="12">
        <v>1</v>
      </c>
      <c r="V4" s="12">
        <v>2</v>
      </c>
      <c r="W4" s="12">
        <v>3</v>
      </c>
      <c r="X4" s="12">
        <v>4</v>
      </c>
      <c r="Y4" s="12">
        <v>5</v>
      </c>
      <c r="Z4" s="12">
        <v>6</v>
      </c>
      <c r="AB4" s="12" t="s">
        <v>1</v>
      </c>
      <c r="AC4" s="12">
        <v>1</v>
      </c>
      <c r="AD4" s="12">
        <v>2</v>
      </c>
      <c r="AE4" s="12">
        <v>3</v>
      </c>
      <c r="AF4" s="12">
        <v>4</v>
      </c>
      <c r="AG4" s="12">
        <v>5</v>
      </c>
      <c r="AH4" s="12">
        <v>6</v>
      </c>
    </row>
    <row r="5" spans="2:34" x14ac:dyDescent="0.35">
      <c r="B5" s="13">
        <v>1</v>
      </c>
      <c r="C5" s="14">
        <v>0.95275699999999997</v>
      </c>
      <c r="D5" s="14">
        <v>0.52063499999999996</v>
      </c>
      <c r="E5" s="14">
        <v>0.26242399999999999</v>
      </c>
      <c r="F5" s="14">
        <v>8.6392999999999998E-2</v>
      </c>
      <c r="G5" s="14">
        <v>5.1027999999999997E-2</v>
      </c>
      <c r="H5" s="14">
        <v>3.7682E-2</v>
      </c>
      <c r="K5" s="13">
        <v>1</v>
      </c>
      <c r="L5" s="14">
        <v>0.53448700000000005</v>
      </c>
      <c r="M5" s="14">
        <v>0.49085099999999998</v>
      </c>
      <c r="N5" s="14">
        <v>0.52433399999999997</v>
      </c>
      <c r="O5" s="14">
        <v>0.43206600000000001</v>
      </c>
      <c r="P5" s="14">
        <v>0.44287500000000002</v>
      </c>
      <c r="Q5" s="14">
        <v>0.44853900000000002</v>
      </c>
      <c r="T5" s="13">
        <v>1</v>
      </c>
      <c r="U5" s="14">
        <v>106650</v>
      </c>
      <c r="V5" s="14">
        <v>103795</v>
      </c>
      <c r="W5" s="14">
        <v>118788</v>
      </c>
      <c r="X5" s="14">
        <v>114987</v>
      </c>
      <c r="Y5" s="14">
        <v>118222</v>
      </c>
      <c r="Z5" s="14">
        <v>117112</v>
      </c>
      <c r="AB5" s="13">
        <v>1</v>
      </c>
      <c r="AC5" s="14">
        <v>1140640</v>
      </c>
      <c r="AD5" s="14">
        <v>569292</v>
      </c>
      <c r="AE5" s="14">
        <v>286298</v>
      </c>
      <c r="AF5" s="14">
        <v>145167</v>
      </c>
      <c r="AG5" s="14">
        <v>91361</v>
      </c>
      <c r="AH5" s="14">
        <v>68978</v>
      </c>
    </row>
    <row r="6" spans="2:34" x14ac:dyDescent="0.35">
      <c r="B6" s="13">
        <v>2</v>
      </c>
      <c r="C6" s="14">
        <v>0.986757</v>
      </c>
      <c r="D6" s="14">
        <v>0.53462699999999996</v>
      </c>
      <c r="E6" s="14">
        <v>0.26643299999999998</v>
      </c>
      <c r="F6" s="14">
        <v>9.6740000000000007E-2</v>
      </c>
      <c r="G6" s="14">
        <v>5.2645999999999998E-2</v>
      </c>
      <c r="H6" s="14">
        <v>3.9784E-2</v>
      </c>
      <c r="K6" s="13">
        <v>2</v>
      </c>
      <c r="L6" s="14">
        <v>0.53232800000000002</v>
      </c>
      <c r="M6" s="14">
        <v>0.47344900000000001</v>
      </c>
      <c r="N6" s="14">
        <v>0.53718500000000002</v>
      </c>
      <c r="O6" s="14">
        <v>0.43966899999999998</v>
      </c>
      <c r="P6" s="14">
        <v>0.46247300000000002</v>
      </c>
      <c r="Q6" s="14">
        <v>0.47588900000000001</v>
      </c>
      <c r="T6" s="13">
        <v>2</v>
      </c>
      <c r="U6" s="14">
        <v>110307</v>
      </c>
      <c r="V6" s="14">
        <v>111477</v>
      </c>
      <c r="W6" s="14">
        <v>123798</v>
      </c>
      <c r="X6" s="14">
        <v>120501</v>
      </c>
      <c r="Y6" s="14">
        <v>116223</v>
      </c>
      <c r="Z6" s="14">
        <v>119420</v>
      </c>
      <c r="AB6" s="13">
        <v>2</v>
      </c>
      <c r="AC6" s="14">
        <v>1215690</v>
      </c>
      <c r="AD6" s="14">
        <v>640614</v>
      </c>
      <c r="AE6" s="14">
        <v>309290</v>
      </c>
      <c r="AF6" s="14">
        <v>170192</v>
      </c>
      <c r="AG6" s="14">
        <v>95428</v>
      </c>
      <c r="AH6" s="14">
        <v>74904</v>
      </c>
    </row>
    <row r="7" spans="2:34" x14ac:dyDescent="0.35">
      <c r="B7" s="13">
        <v>3</v>
      </c>
      <c r="C7" s="14">
        <v>1.09198</v>
      </c>
      <c r="D7" s="14">
        <v>0.655192</v>
      </c>
      <c r="E7" s="14">
        <v>0.30604300000000001</v>
      </c>
      <c r="F7" s="14">
        <v>0.14149999999999999</v>
      </c>
      <c r="G7" s="14">
        <v>5.6348000000000002E-2</v>
      </c>
      <c r="H7" s="14">
        <v>4.4331000000000002E-2</v>
      </c>
      <c r="K7" s="13">
        <v>3</v>
      </c>
      <c r="L7" s="14">
        <v>0.547736</v>
      </c>
      <c r="M7" s="14">
        <v>0.50301300000000004</v>
      </c>
      <c r="N7" s="14">
        <v>0.58211900000000005</v>
      </c>
      <c r="O7" s="14">
        <v>0.48893199999999998</v>
      </c>
      <c r="P7" s="14">
        <v>0.51911799999999997</v>
      </c>
      <c r="Q7" s="14">
        <v>0.50056199999999995</v>
      </c>
      <c r="T7" s="13">
        <v>3</v>
      </c>
      <c r="U7" s="14">
        <v>110574</v>
      </c>
      <c r="V7" s="14">
        <v>118664</v>
      </c>
      <c r="W7" s="14">
        <v>122882</v>
      </c>
      <c r="X7" s="14">
        <v>121908</v>
      </c>
      <c r="Y7" s="14">
        <v>115853</v>
      </c>
      <c r="Z7" s="14">
        <v>116087</v>
      </c>
      <c r="AB7" s="13">
        <v>3</v>
      </c>
      <c r="AC7" s="14">
        <v>1309570</v>
      </c>
      <c r="AD7" s="14">
        <v>777655</v>
      </c>
      <c r="AE7" s="14">
        <v>342056</v>
      </c>
      <c r="AF7" s="14">
        <v>247506</v>
      </c>
      <c r="AG7" s="14">
        <v>98187</v>
      </c>
      <c r="AH7" s="14">
        <v>83829</v>
      </c>
    </row>
    <row r="8" spans="2:34" x14ac:dyDescent="0.35">
      <c r="B8" s="13">
        <v>4</v>
      </c>
      <c r="C8" s="14">
        <v>1.17578</v>
      </c>
      <c r="D8" s="14">
        <v>0.79157500000000003</v>
      </c>
      <c r="E8" s="14">
        <v>0.32558599999999999</v>
      </c>
      <c r="F8" s="14">
        <v>0.169715</v>
      </c>
      <c r="G8" s="14">
        <v>6.6952999999999999E-2</v>
      </c>
      <c r="H8" s="14">
        <v>5.0244999999999998E-2</v>
      </c>
      <c r="K8" s="13">
        <v>4</v>
      </c>
      <c r="L8" s="14">
        <v>0.54084600000000005</v>
      </c>
      <c r="M8" s="14">
        <v>0.51250099999999998</v>
      </c>
      <c r="N8" s="14">
        <v>0.57948900000000003</v>
      </c>
      <c r="O8" s="14">
        <v>0.48418099999999997</v>
      </c>
      <c r="P8" s="14">
        <v>0.529331</v>
      </c>
      <c r="Q8" s="14">
        <v>0.50034400000000001</v>
      </c>
      <c r="T8" s="13">
        <v>4</v>
      </c>
      <c r="U8" s="14">
        <v>121974</v>
      </c>
      <c r="V8" s="14">
        <v>114797</v>
      </c>
      <c r="W8" s="14">
        <v>131274</v>
      </c>
      <c r="X8" s="14">
        <v>127220</v>
      </c>
      <c r="Y8" s="14">
        <v>129372</v>
      </c>
      <c r="Z8" s="14">
        <v>122997</v>
      </c>
      <c r="AB8" s="13">
        <v>4</v>
      </c>
      <c r="AC8" s="14">
        <v>1511530</v>
      </c>
      <c r="AD8" s="14">
        <v>999294</v>
      </c>
      <c r="AE8" s="14">
        <v>374595</v>
      </c>
      <c r="AF8" s="14">
        <v>309391</v>
      </c>
      <c r="AG8" s="14">
        <v>115967</v>
      </c>
      <c r="AH8" s="14">
        <v>98148</v>
      </c>
    </row>
    <row r="9" spans="2:34" x14ac:dyDescent="0.35">
      <c r="B9" s="13">
        <v>5</v>
      </c>
      <c r="C9" s="14">
        <v>1.1601699999999999</v>
      </c>
      <c r="D9" s="14">
        <v>0.84294500000000006</v>
      </c>
      <c r="E9" s="14">
        <v>0.34570600000000001</v>
      </c>
      <c r="F9" s="14">
        <v>0.17380499999999999</v>
      </c>
      <c r="G9" s="14">
        <v>7.0307999999999995E-2</v>
      </c>
      <c r="H9" s="14">
        <v>5.5045999999999998E-2</v>
      </c>
      <c r="K9" s="13">
        <v>5</v>
      </c>
      <c r="L9" s="14">
        <v>0.591167</v>
      </c>
      <c r="M9" s="14">
        <v>0.56678200000000001</v>
      </c>
      <c r="N9" s="14">
        <v>0.60659200000000002</v>
      </c>
      <c r="O9" s="14">
        <v>0.52992499999999998</v>
      </c>
      <c r="P9" s="14">
        <v>0.55779699999999999</v>
      </c>
      <c r="Q9" s="14">
        <v>0.52889699999999995</v>
      </c>
      <c r="T9" s="13">
        <v>5</v>
      </c>
      <c r="U9" s="14">
        <v>196606</v>
      </c>
      <c r="V9" s="14">
        <v>215322</v>
      </c>
      <c r="W9" s="14">
        <v>222037</v>
      </c>
      <c r="X9" s="14">
        <v>209405</v>
      </c>
      <c r="Y9" s="14">
        <v>243266</v>
      </c>
      <c r="Z9" s="14">
        <v>194309</v>
      </c>
      <c r="AB9" s="13">
        <v>5</v>
      </c>
      <c r="AC9" s="14">
        <v>1676730</v>
      </c>
      <c r="AD9" s="14">
        <v>1203970</v>
      </c>
      <c r="AE9" s="14">
        <v>450037</v>
      </c>
      <c r="AF9" s="14">
        <v>354338</v>
      </c>
      <c r="AG9" s="14">
        <v>138382</v>
      </c>
      <c r="AH9" s="14">
        <v>118449</v>
      </c>
    </row>
    <row r="10" spans="2:34" x14ac:dyDescent="0.35">
      <c r="B10" s="13">
        <v>6</v>
      </c>
      <c r="C10" s="14">
        <v>1.1737599999999999</v>
      </c>
      <c r="D10" s="14">
        <v>0.85289199999999998</v>
      </c>
      <c r="E10" s="14">
        <v>0.36751699999999998</v>
      </c>
      <c r="F10" s="14">
        <v>0.164272</v>
      </c>
      <c r="G10" s="14">
        <v>7.3960999999999999E-2</v>
      </c>
      <c r="H10" s="14">
        <v>5.2462000000000002E-2</v>
      </c>
      <c r="K10" s="13">
        <v>6</v>
      </c>
      <c r="L10" s="14">
        <v>0.57541699999999996</v>
      </c>
      <c r="M10" s="14">
        <v>0.55813299999999999</v>
      </c>
      <c r="N10" s="14">
        <v>0.60726999999999998</v>
      </c>
      <c r="O10" s="14">
        <v>0.53272299999999995</v>
      </c>
      <c r="P10" s="14">
        <v>0.55618100000000004</v>
      </c>
      <c r="Q10" s="14">
        <v>0.495361</v>
      </c>
      <c r="T10" s="13">
        <v>6</v>
      </c>
      <c r="U10" s="14">
        <v>265609</v>
      </c>
      <c r="V10" s="14">
        <v>281704</v>
      </c>
      <c r="W10" s="14">
        <v>278721</v>
      </c>
      <c r="X10" s="14">
        <v>263148</v>
      </c>
      <c r="Y10" s="14">
        <v>277930</v>
      </c>
      <c r="Z10" s="14">
        <v>307923</v>
      </c>
      <c r="AB10" s="13">
        <v>6</v>
      </c>
      <c r="AC10" s="14">
        <v>1823740</v>
      </c>
      <c r="AD10" s="14">
        <v>1358100</v>
      </c>
      <c r="AE10" s="14">
        <v>510412</v>
      </c>
      <c r="AF10" s="14">
        <v>373941</v>
      </c>
      <c r="AG10" s="14">
        <v>156228</v>
      </c>
      <c r="AH10" s="14">
        <v>133161</v>
      </c>
    </row>
    <row r="11" spans="2:34" x14ac:dyDescent="0.35">
      <c r="B11" s="13">
        <v>7</v>
      </c>
      <c r="C11" s="14">
        <v>1.29051</v>
      </c>
      <c r="D11" s="14">
        <v>0.92284299999999997</v>
      </c>
      <c r="E11" s="14">
        <v>0.409937</v>
      </c>
      <c r="F11" s="14">
        <v>0.170906</v>
      </c>
      <c r="G11" s="14">
        <v>8.4945999999999994E-2</v>
      </c>
      <c r="H11" s="14">
        <v>5.6977E-2</v>
      </c>
      <c r="K11" s="13">
        <v>7</v>
      </c>
      <c r="L11" s="14">
        <v>0.594495</v>
      </c>
      <c r="M11" s="14">
        <v>0.55879900000000005</v>
      </c>
      <c r="N11" s="14">
        <v>0.58242499999999997</v>
      </c>
      <c r="O11" s="14">
        <v>0.54906699999999997</v>
      </c>
      <c r="P11" s="14">
        <v>0.56932700000000003</v>
      </c>
      <c r="Q11" s="14">
        <v>0.51034199999999996</v>
      </c>
      <c r="T11" s="13">
        <v>7</v>
      </c>
      <c r="U11" s="14">
        <v>263451</v>
      </c>
      <c r="V11" s="14">
        <v>304818</v>
      </c>
      <c r="W11" s="14">
        <v>306564</v>
      </c>
      <c r="X11" s="14">
        <v>316724</v>
      </c>
      <c r="Y11" s="14">
        <v>317273</v>
      </c>
      <c r="Z11" s="14">
        <v>323595</v>
      </c>
      <c r="AB11" s="13">
        <v>7</v>
      </c>
      <c r="AC11" s="14">
        <v>2022890</v>
      </c>
      <c r="AD11" s="14">
        <v>1501350</v>
      </c>
      <c r="AE11" s="14">
        <v>575347</v>
      </c>
      <c r="AF11" s="14">
        <v>420915</v>
      </c>
      <c r="AG11" s="14">
        <v>183169</v>
      </c>
      <c r="AH11" s="14">
        <v>145062</v>
      </c>
    </row>
    <row r="12" spans="2:34" x14ac:dyDescent="0.35">
      <c r="B12" s="13">
        <v>8</v>
      </c>
      <c r="C12" s="14">
        <v>1.3906700000000001</v>
      </c>
      <c r="D12" s="14">
        <v>1</v>
      </c>
      <c r="E12" s="14">
        <v>0.448023</v>
      </c>
      <c r="F12" s="14">
        <v>0.17784</v>
      </c>
      <c r="G12" s="14">
        <v>9.5474000000000003E-2</v>
      </c>
      <c r="H12" s="14">
        <v>6.1490000000000003E-2</v>
      </c>
      <c r="K12" s="13">
        <v>8</v>
      </c>
      <c r="L12" s="14">
        <v>0.59740899999999997</v>
      </c>
      <c r="M12" s="14">
        <v>0.57206999999999997</v>
      </c>
      <c r="N12" s="14">
        <v>0.57397200000000004</v>
      </c>
      <c r="O12" s="14">
        <v>0.55713999999999997</v>
      </c>
      <c r="P12" s="14">
        <v>0.58346500000000001</v>
      </c>
      <c r="Q12" s="14">
        <v>0.51829599999999998</v>
      </c>
      <c r="T12" s="13">
        <v>8</v>
      </c>
      <c r="U12" s="14">
        <v>316411</v>
      </c>
      <c r="V12" s="14">
        <v>348609</v>
      </c>
      <c r="W12" s="14">
        <v>356073</v>
      </c>
      <c r="X12" s="14">
        <v>363598</v>
      </c>
      <c r="Y12" s="14">
        <v>358794</v>
      </c>
      <c r="Z12" s="14">
        <v>363081</v>
      </c>
      <c r="AB12" s="13">
        <v>8</v>
      </c>
      <c r="AC12" s="14">
        <v>2314760</v>
      </c>
      <c r="AD12" s="14">
        <v>1709270</v>
      </c>
      <c r="AE12" s="14">
        <v>669331</v>
      </c>
      <c r="AF12" s="14">
        <v>474017</v>
      </c>
      <c r="AG12" s="14">
        <v>210212</v>
      </c>
      <c r="AH12" s="14">
        <v>170711</v>
      </c>
    </row>
    <row r="13" spans="2:34" x14ac:dyDescent="0.35">
      <c r="B13" s="13">
        <v>9</v>
      </c>
      <c r="C13" s="14">
        <v>1.61273</v>
      </c>
      <c r="D13" s="14">
        <v>1.19845</v>
      </c>
      <c r="E13" s="14">
        <v>0.53959500000000005</v>
      </c>
      <c r="F13" s="14">
        <v>0.192248</v>
      </c>
      <c r="G13" s="14">
        <v>0.119814</v>
      </c>
      <c r="H13" s="14">
        <v>6.9027000000000005E-2</v>
      </c>
      <c r="K13" s="13">
        <v>9</v>
      </c>
      <c r="L13" s="14">
        <v>0.63852200000000003</v>
      </c>
      <c r="M13" s="14">
        <v>0.62476299999999996</v>
      </c>
      <c r="N13" s="14">
        <v>0.65425599999999995</v>
      </c>
      <c r="O13" s="14">
        <v>0.61137699999999995</v>
      </c>
      <c r="P13" s="14">
        <v>0.63181799999999999</v>
      </c>
      <c r="Q13" s="14">
        <v>0.54672299999999996</v>
      </c>
      <c r="T13" s="13">
        <v>9</v>
      </c>
      <c r="U13" s="14">
        <v>384110</v>
      </c>
      <c r="V13" s="14">
        <v>374579</v>
      </c>
      <c r="W13" s="14">
        <v>378311</v>
      </c>
      <c r="X13" s="14">
        <v>389436</v>
      </c>
      <c r="Y13" s="14">
        <v>397667</v>
      </c>
      <c r="Z13" s="14">
        <v>386422</v>
      </c>
      <c r="AB13" s="13">
        <v>9</v>
      </c>
      <c r="AC13" s="14">
        <v>2639160</v>
      </c>
      <c r="AD13" s="14">
        <v>2025400</v>
      </c>
      <c r="AE13" s="14">
        <v>783799</v>
      </c>
      <c r="AF13" s="14">
        <v>532590</v>
      </c>
      <c r="AG13" s="14">
        <v>274024</v>
      </c>
      <c r="AH13" s="14">
        <v>199775</v>
      </c>
    </row>
    <row r="14" spans="2:34" x14ac:dyDescent="0.35">
      <c r="B14" s="13">
        <v>10</v>
      </c>
      <c r="C14" s="14">
        <v>1.82544</v>
      </c>
      <c r="D14" s="14">
        <v>1.34067</v>
      </c>
      <c r="E14" s="14">
        <v>0.53938200000000003</v>
      </c>
      <c r="F14" s="14">
        <v>0.24246899999999999</v>
      </c>
      <c r="G14" s="14">
        <v>0.15004600000000001</v>
      </c>
      <c r="H14" s="14">
        <v>9.2748999999999998E-2</v>
      </c>
      <c r="K14" s="13">
        <v>10</v>
      </c>
      <c r="L14" s="14">
        <v>0.67628699999999997</v>
      </c>
      <c r="M14" s="14">
        <v>0.62870599999999999</v>
      </c>
      <c r="N14" s="14">
        <v>0.63105500000000003</v>
      </c>
      <c r="O14" s="14">
        <v>0.64531899999999998</v>
      </c>
      <c r="P14" s="14">
        <v>0.60472300000000001</v>
      </c>
      <c r="Q14" s="14">
        <v>0.55427599999999999</v>
      </c>
      <c r="T14" s="13">
        <v>10</v>
      </c>
      <c r="U14" s="14">
        <v>569251</v>
      </c>
      <c r="V14" s="14">
        <v>544109</v>
      </c>
      <c r="W14" s="14">
        <v>555267</v>
      </c>
      <c r="X14" s="14">
        <v>547376</v>
      </c>
      <c r="Y14" s="14">
        <v>566672</v>
      </c>
      <c r="Z14" s="14">
        <v>564867</v>
      </c>
      <c r="AB14" s="13">
        <v>10</v>
      </c>
      <c r="AC14" s="14">
        <v>3247620</v>
      </c>
      <c r="AD14" s="14">
        <v>2548370</v>
      </c>
      <c r="AE14" s="14">
        <v>913883</v>
      </c>
      <c r="AF14" s="14">
        <v>676771</v>
      </c>
      <c r="AG14" s="14">
        <v>356915</v>
      </c>
      <c r="AH14" s="14">
        <v>276797</v>
      </c>
    </row>
    <row r="15" spans="2:34" x14ac:dyDescent="0.35">
      <c r="B15" s="13">
        <v>11</v>
      </c>
      <c r="C15" s="14">
        <v>1.5460400000000001</v>
      </c>
      <c r="D15" s="14">
        <v>1.3262400000000001</v>
      </c>
      <c r="E15" s="14">
        <v>0.46796700000000002</v>
      </c>
      <c r="F15" s="14">
        <v>0.25650499999999998</v>
      </c>
      <c r="G15" s="14">
        <v>0.144014</v>
      </c>
      <c r="H15" s="14">
        <v>0.11264</v>
      </c>
      <c r="K15" s="13">
        <v>11</v>
      </c>
      <c r="L15" s="14">
        <v>0.60573500000000002</v>
      </c>
      <c r="M15" s="14">
        <v>0.58914999999999995</v>
      </c>
      <c r="N15" s="14">
        <v>0.56923999999999997</v>
      </c>
      <c r="O15" s="14">
        <v>0.611734</v>
      </c>
      <c r="P15" s="14">
        <v>0.58792100000000003</v>
      </c>
      <c r="Q15" s="14">
        <v>0.51776599999999995</v>
      </c>
      <c r="T15" s="13">
        <v>11</v>
      </c>
      <c r="U15" s="14">
        <v>871636</v>
      </c>
      <c r="V15" s="14">
        <v>853356</v>
      </c>
      <c r="W15" s="14">
        <v>850322</v>
      </c>
      <c r="X15" s="14">
        <v>850418</v>
      </c>
      <c r="Y15" s="14">
        <v>848393</v>
      </c>
      <c r="Z15" s="14">
        <v>874818</v>
      </c>
      <c r="AB15" s="13">
        <v>11</v>
      </c>
      <c r="AC15" s="14">
        <v>3787750</v>
      </c>
      <c r="AD15" s="14">
        <v>3137740</v>
      </c>
      <c r="AE15" s="14">
        <v>1041520</v>
      </c>
      <c r="AF15" s="14">
        <v>880438</v>
      </c>
      <c r="AG15" s="14">
        <v>432344</v>
      </c>
      <c r="AH15" s="14">
        <v>381478</v>
      </c>
    </row>
    <row r="16" spans="2:34" x14ac:dyDescent="0.35">
      <c r="B16" s="13">
        <v>12</v>
      </c>
      <c r="C16" s="14">
        <v>1.5279</v>
      </c>
      <c r="D16" s="14">
        <v>1.2485200000000001</v>
      </c>
      <c r="E16" s="14">
        <v>0.450544</v>
      </c>
      <c r="F16" s="14">
        <v>0.24965699999999999</v>
      </c>
      <c r="G16" s="14">
        <v>0.16930000000000001</v>
      </c>
      <c r="H16" s="14">
        <v>0.15415400000000001</v>
      </c>
      <c r="K16" s="13">
        <v>12</v>
      </c>
      <c r="L16" s="14">
        <v>0.61436000000000002</v>
      </c>
      <c r="M16" s="14">
        <v>0.53261199999999997</v>
      </c>
      <c r="N16" s="14">
        <v>0.58968200000000004</v>
      </c>
      <c r="O16" s="14">
        <v>0.58088399999999996</v>
      </c>
      <c r="P16" s="14">
        <v>0.61615900000000001</v>
      </c>
      <c r="Q16" s="14">
        <v>0.58004900000000004</v>
      </c>
      <c r="T16" s="13">
        <v>12</v>
      </c>
      <c r="U16" s="14">
        <v>997239</v>
      </c>
      <c r="V16" s="14">
        <v>1003200</v>
      </c>
      <c r="W16" s="14">
        <v>1015610</v>
      </c>
      <c r="X16" s="14">
        <v>1011170</v>
      </c>
      <c r="Y16" s="14">
        <v>1005740</v>
      </c>
      <c r="Z16" s="14">
        <v>1013170</v>
      </c>
      <c r="AB16" s="13">
        <v>12</v>
      </c>
      <c r="AC16" s="14">
        <v>3867750</v>
      </c>
      <c r="AD16" s="14">
        <v>3557700</v>
      </c>
      <c r="AE16" s="14">
        <v>1125800</v>
      </c>
      <c r="AF16" s="14">
        <v>1052020</v>
      </c>
      <c r="AG16" s="14">
        <v>524294</v>
      </c>
      <c r="AH16" s="14">
        <v>506969</v>
      </c>
    </row>
    <row r="17" spans="2:34" x14ac:dyDescent="0.35">
      <c r="B17" s="13">
        <v>13</v>
      </c>
      <c r="C17" s="14">
        <v>1.6601999999999999</v>
      </c>
      <c r="D17" s="14">
        <v>1.2543200000000001</v>
      </c>
      <c r="E17" s="14">
        <v>0.46879300000000002</v>
      </c>
      <c r="F17" s="14">
        <v>0.27392300000000003</v>
      </c>
      <c r="G17" s="14">
        <v>0.172761</v>
      </c>
      <c r="H17" s="14">
        <v>0.18646099999999999</v>
      </c>
      <c r="K17" s="13">
        <v>13</v>
      </c>
      <c r="L17" s="14">
        <v>0.63336599999999998</v>
      </c>
      <c r="M17" s="14">
        <v>0.52665200000000001</v>
      </c>
      <c r="N17" s="14">
        <v>0.58795299999999995</v>
      </c>
      <c r="O17" s="14">
        <v>0.57204699999999997</v>
      </c>
      <c r="P17" s="14">
        <v>0.60586799999999996</v>
      </c>
      <c r="Q17" s="14">
        <v>0.55602399999999996</v>
      </c>
      <c r="T17" s="13">
        <v>13</v>
      </c>
      <c r="U17" s="14">
        <v>938002</v>
      </c>
      <c r="V17" s="14">
        <v>941977</v>
      </c>
      <c r="W17" s="14">
        <v>954508</v>
      </c>
      <c r="X17" s="14">
        <v>951934</v>
      </c>
      <c r="Y17" s="14">
        <v>958231</v>
      </c>
      <c r="Z17" s="14">
        <v>930477</v>
      </c>
      <c r="AB17" s="13">
        <v>13</v>
      </c>
      <c r="AC17" s="14">
        <v>3996020</v>
      </c>
      <c r="AD17" s="14">
        <v>3717740</v>
      </c>
      <c r="AE17" s="14">
        <v>1096070</v>
      </c>
      <c r="AF17" s="14">
        <v>1193680</v>
      </c>
      <c r="AG17" s="14">
        <v>530924</v>
      </c>
      <c r="AH17" s="14">
        <v>633388</v>
      </c>
    </row>
    <row r="18" spans="2:34" x14ac:dyDescent="0.35">
      <c r="B18" s="13">
        <v>14</v>
      </c>
      <c r="C18" s="14">
        <v>1.8223100000000001</v>
      </c>
      <c r="D18" s="14">
        <v>1.3717699999999999</v>
      </c>
      <c r="E18" s="14">
        <v>0.49439699999999998</v>
      </c>
      <c r="F18" s="14">
        <v>0.37113099999999999</v>
      </c>
      <c r="G18" s="14">
        <v>0.18667</v>
      </c>
      <c r="H18" s="14">
        <v>0.24684700000000001</v>
      </c>
      <c r="K18" s="13">
        <v>14</v>
      </c>
      <c r="L18" s="14">
        <v>0.65011699999999994</v>
      </c>
      <c r="M18" s="14">
        <v>0.54016299999999995</v>
      </c>
      <c r="N18" s="14">
        <v>0.565388</v>
      </c>
      <c r="O18" s="14">
        <v>0.59457000000000004</v>
      </c>
      <c r="P18" s="14">
        <v>0.59468799999999999</v>
      </c>
      <c r="Q18" s="14">
        <v>0.53779100000000002</v>
      </c>
      <c r="T18" s="13">
        <v>14</v>
      </c>
      <c r="U18" s="14">
        <v>859572</v>
      </c>
      <c r="V18" s="14">
        <v>856533</v>
      </c>
      <c r="W18" s="14">
        <v>886999</v>
      </c>
      <c r="X18" s="14">
        <v>881323</v>
      </c>
      <c r="Y18" s="14">
        <v>872924</v>
      </c>
      <c r="Z18" s="14">
        <v>851676</v>
      </c>
      <c r="AB18" s="13">
        <v>14</v>
      </c>
      <c r="AC18" s="14">
        <v>4282880</v>
      </c>
      <c r="AD18" s="14">
        <v>3962370</v>
      </c>
      <c r="AE18" s="14">
        <v>1198930</v>
      </c>
      <c r="AF18" s="14">
        <v>1303390</v>
      </c>
      <c r="AG18" s="14">
        <v>581447</v>
      </c>
      <c r="AH18" s="14">
        <v>804388</v>
      </c>
    </row>
    <row r="19" spans="2:34" x14ac:dyDescent="0.35">
      <c r="B19" s="13">
        <v>15</v>
      </c>
      <c r="C19" s="14">
        <v>1.9364600000000001</v>
      </c>
      <c r="D19" s="14">
        <v>1.38974</v>
      </c>
      <c r="E19" s="14">
        <v>0.49331700000000001</v>
      </c>
      <c r="F19" s="14">
        <v>0.42141099999999998</v>
      </c>
      <c r="G19" s="14">
        <v>0.213279</v>
      </c>
      <c r="H19" s="14">
        <v>0.30401299999999998</v>
      </c>
      <c r="K19" s="13">
        <v>15</v>
      </c>
      <c r="L19" s="14">
        <v>0.62560300000000002</v>
      </c>
      <c r="M19" s="14">
        <v>0.528775</v>
      </c>
      <c r="N19" s="14">
        <v>0.57707799999999998</v>
      </c>
      <c r="O19" s="14">
        <v>0.58552499999999996</v>
      </c>
      <c r="P19" s="14">
        <v>0.63554500000000003</v>
      </c>
      <c r="Q19" s="14">
        <v>0.52577499999999999</v>
      </c>
      <c r="T19" s="13">
        <v>15</v>
      </c>
      <c r="U19" s="14">
        <v>823411</v>
      </c>
      <c r="V19" s="14">
        <v>821361</v>
      </c>
      <c r="W19" s="14">
        <v>844079</v>
      </c>
      <c r="X19" s="14">
        <v>831374</v>
      </c>
      <c r="Y19" s="14">
        <v>844622</v>
      </c>
      <c r="Z19" s="14">
        <v>819476</v>
      </c>
      <c r="AB19" s="13">
        <v>15</v>
      </c>
      <c r="AC19" s="14">
        <v>4748320</v>
      </c>
      <c r="AD19" s="14">
        <v>4209390</v>
      </c>
      <c r="AE19" s="14">
        <v>1170470</v>
      </c>
      <c r="AF19" s="14">
        <v>1436970</v>
      </c>
      <c r="AG19" s="14">
        <v>610257</v>
      </c>
      <c r="AH19" s="14">
        <v>1009500</v>
      </c>
    </row>
    <row r="20" spans="2:34" x14ac:dyDescent="0.35">
      <c r="B20" s="13" t="s">
        <v>41</v>
      </c>
      <c r="C20" s="14">
        <v>1.4102309333333336</v>
      </c>
      <c r="D20" s="14">
        <v>1.0166945999999999</v>
      </c>
      <c r="E20" s="14">
        <v>0.41237760000000001</v>
      </c>
      <c r="F20" s="14">
        <v>0.21256766666666665</v>
      </c>
      <c r="G20" s="14">
        <v>0.11383653333333331</v>
      </c>
      <c r="H20" s="14">
        <v>0.10426053333333334</v>
      </c>
      <c r="K20" s="13" t="s">
        <v>41</v>
      </c>
      <c r="L20" s="14">
        <v>8.9578750000000014</v>
      </c>
      <c r="M20" s="14">
        <v>8.2064190000000004</v>
      </c>
      <c r="N20" s="14">
        <v>8.7680380000000007</v>
      </c>
      <c r="O20" s="14">
        <v>8.2151589999999999</v>
      </c>
      <c r="P20" s="14">
        <v>8.4972889999999985</v>
      </c>
      <c r="Q20" s="14">
        <v>7.7966340000000001</v>
      </c>
      <c r="T20" s="13" t="s">
        <v>41</v>
      </c>
      <c r="U20" s="14">
        <v>462320.2</v>
      </c>
      <c r="V20" s="14">
        <v>466286.73333333334</v>
      </c>
      <c r="W20" s="14">
        <v>476348.86666666664</v>
      </c>
      <c r="X20" s="14">
        <v>473368.13333333336</v>
      </c>
      <c r="Y20" s="14">
        <v>478078.8</v>
      </c>
      <c r="Z20" s="14">
        <v>473695.33333333331</v>
      </c>
      <c r="AB20" s="13" t="s">
        <v>41</v>
      </c>
      <c r="AC20" s="14">
        <v>2639003.3333333335</v>
      </c>
      <c r="AD20" s="14">
        <v>2127883.6666666665</v>
      </c>
      <c r="AE20" s="14">
        <v>723189.2</v>
      </c>
      <c r="AF20" s="14">
        <v>638088.4</v>
      </c>
      <c r="AG20" s="14">
        <v>293275.93333333335</v>
      </c>
      <c r="AH20" s="14">
        <v>313702.46666666667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Raw_Data</vt:lpstr>
      <vt:lpstr>Descriptive_statistics</vt:lpstr>
      <vt:lpstr>Correlation</vt:lpstr>
      <vt:lpstr>Trend Analysis</vt:lpstr>
      <vt:lpstr>Simple LinearRegression Model</vt:lpstr>
      <vt:lpstr>Multiple Linear Regression</vt:lpstr>
      <vt:lpstr>pivot 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Enrique Ruiz</dc:creator>
  <cp:lastModifiedBy>Windows</cp:lastModifiedBy>
  <dcterms:created xsi:type="dcterms:W3CDTF">2022-11-14T17:32:42Z</dcterms:created>
  <dcterms:modified xsi:type="dcterms:W3CDTF">2026-05-22T20:36:34Z</dcterms:modified>
</cp:coreProperties>
</file>